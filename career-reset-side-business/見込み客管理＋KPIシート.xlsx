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込み客管理" sheetId="1" state="visible" r:id="rId1"/>
    <sheet name="週次KPI" sheetId="2" state="visible" r:id="rId2"/>
    <sheet name="目標逆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游ゴシック"/>
      <b val="1"/>
      <color rgb="00591826"/>
      <sz val="14"/>
    </font>
    <font>
      <name val="游ゴシック"/>
      <i val="1"/>
      <color rgb="007C716B"/>
      <sz val="9"/>
    </font>
    <font>
      <name val="游ゴシック"/>
      <b val="1"/>
      <color rgb="00FFFFFF"/>
      <sz val="10.5"/>
    </font>
    <font>
      <name val="游ゴシック"/>
      <color rgb="0023201F"/>
      <sz val="10.5"/>
    </font>
    <font>
      <name val="游ゴシック"/>
      <b val="1"/>
      <color rgb="0023201F"/>
      <sz val="10.5"/>
    </font>
  </fonts>
  <fills count="6">
    <fill>
      <patternFill/>
    </fill>
    <fill>
      <patternFill patternType="gray125"/>
    </fill>
    <fill>
      <patternFill patternType="solid">
        <fgColor rgb="00591826"/>
      </patternFill>
    </fill>
    <fill>
      <patternFill patternType="solid">
        <fgColor rgb="00F6EFE3"/>
      </patternFill>
    </fill>
    <fill>
      <patternFill patternType="solid">
        <fgColor rgb="00F3F1EF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8CCC0"/>
      </left>
      <right style="thin">
        <color rgb="00D8CCC0"/>
      </right>
      <top style="thin">
        <color rgb="00D8CCC0"/>
      </top>
      <bottom style="thin">
        <color rgb="00D8CC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2" customWidth="1" min="4" max="4"/>
    <col width="9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6" customWidth="1" min="12" max="12"/>
  </cols>
  <sheetData>
    <row r="1">
      <c r="A1" s="1" t="inlineStr">
        <is>
          <t>見込み客管理シート</t>
        </is>
      </c>
    </row>
    <row r="2">
      <c r="A2" s="2" t="inlineStr">
        <is>
          <t>Threads→LINE→無料相談→プログラムの流れを、1人ずつ記録します。ステータスと流入元はプルダウンから選べます。</t>
        </is>
      </c>
    </row>
    <row r="4" ht="30" customHeight="1">
      <c r="A4" s="3" t="inlineStr">
        <is>
          <t>No.</t>
        </is>
      </c>
      <c r="B4" s="3" t="inlineStr">
        <is>
          <t>名前／ニックネーム</t>
        </is>
      </c>
      <c r="C4" s="3" t="inlineStr">
        <is>
          <t>流入元</t>
        </is>
      </c>
      <c r="D4" s="3" t="inlineStr">
        <is>
          <t>LINE追加日</t>
        </is>
      </c>
      <c r="E4" s="3" t="inlineStr">
        <is>
          <t>特典送付</t>
        </is>
      </c>
      <c r="F4" s="3" t="inlineStr">
        <is>
          <t>初回フォロー日</t>
        </is>
      </c>
      <c r="G4" s="3" t="inlineStr">
        <is>
          <t>相談予約日</t>
        </is>
      </c>
      <c r="H4" s="3" t="inlineStr">
        <is>
          <t>相談実施日</t>
        </is>
      </c>
      <c r="I4" s="3" t="inlineStr">
        <is>
          <t>ステータス</t>
        </is>
      </c>
      <c r="J4" s="3" t="inlineStr">
        <is>
          <t>成約日</t>
        </is>
      </c>
      <c r="K4" s="3" t="inlineStr">
        <is>
          <t>金額（円）</t>
        </is>
      </c>
      <c r="L4" s="3" t="inlineStr">
        <is>
          <t>メモ</t>
        </is>
      </c>
    </row>
    <row r="5">
      <c r="A5" s="4" t="n">
        <v>1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5" t="n"/>
      <c r="L5" s="4" t="n"/>
    </row>
    <row r="6">
      <c r="A6" s="6" t="n">
        <v>2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" t="n"/>
      <c r="L6" s="6" t="n"/>
    </row>
    <row r="7">
      <c r="A7" s="4" t="n">
        <v>3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5" t="n"/>
      <c r="L7" s="4" t="n"/>
    </row>
    <row r="8">
      <c r="A8" s="6" t="n">
        <v>4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7" t="n"/>
      <c r="L8" s="6" t="n"/>
    </row>
    <row r="9">
      <c r="A9" s="4" t="n">
        <v>5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5" t="n"/>
      <c r="L9" s="4" t="n"/>
    </row>
    <row r="10">
      <c r="A10" s="6" t="n">
        <v>6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7" t="n"/>
      <c r="L10" s="6" t="n"/>
    </row>
    <row r="11">
      <c r="A11" s="4" t="n">
        <v>7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5" t="n"/>
      <c r="L11" s="4" t="n"/>
    </row>
    <row r="12">
      <c r="A12" s="6" t="n">
        <v>8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6" t="n"/>
    </row>
    <row r="13">
      <c r="A13" s="4" t="n">
        <v>9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5" t="n"/>
      <c r="L13" s="4" t="n"/>
    </row>
    <row r="14">
      <c r="A14" s="6" t="n">
        <v>10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7" t="n"/>
      <c r="L14" s="6" t="n"/>
    </row>
    <row r="15">
      <c r="A15" s="4" t="n">
        <v>11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5" t="n"/>
      <c r="L15" s="4" t="n"/>
    </row>
    <row r="16">
      <c r="A16" s="6" t="n">
        <v>12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7" t="n"/>
      <c r="L16" s="6" t="n"/>
    </row>
    <row r="17">
      <c r="A17" s="4" t="n">
        <v>13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5" t="n"/>
      <c r="L17" s="4" t="n"/>
    </row>
    <row r="18">
      <c r="A18" s="6" t="n">
        <v>14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7" t="n"/>
      <c r="L18" s="6" t="n"/>
    </row>
    <row r="19">
      <c r="A19" s="4" t="n">
        <v>15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5" t="n"/>
      <c r="L19" s="4" t="n"/>
    </row>
    <row r="20">
      <c r="A20" s="6" t="n">
        <v>16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7" t="n"/>
      <c r="L20" s="6" t="n"/>
    </row>
    <row r="21">
      <c r="A21" s="4" t="n">
        <v>17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5" t="n"/>
      <c r="L21" s="4" t="n"/>
    </row>
    <row r="22">
      <c r="A22" s="6" t="n">
        <v>18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7" t="n"/>
      <c r="L22" s="6" t="n"/>
    </row>
    <row r="23">
      <c r="A23" s="4" t="n">
        <v>19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5" t="n"/>
      <c r="L23" s="4" t="n"/>
    </row>
    <row r="24">
      <c r="A24" s="6" t="n">
        <v>20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7" t="n"/>
      <c r="L24" s="6" t="n"/>
    </row>
    <row r="25">
      <c r="A25" s="4" t="n">
        <v>21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5" t="n"/>
      <c r="L25" s="4" t="n"/>
    </row>
    <row r="26">
      <c r="A26" s="6" t="n">
        <v>22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7" t="n"/>
      <c r="L26" s="6" t="n"/>
    </row>
    <row r="27">
      <c r="A27" s="4" t="n">
        <v>23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5" t="n"/>
      <c r="L27" s="4" t="n"/>
    </row>
    <row r="28">
      <c r="A28" s="6" t="n">
        <v>24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7" t="n"/>
      <c r="L28" s="6" t="n"/>
    </row>
    <row r="29">
      <c r="A29" s="4" t="n">
        <v>25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5" t="n"/>
      <c r="L29" s="4" t="n"/>
    </row>
    <row r="30">
      <c r="A30" s="6" t="n">
        <v>26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7" t="n"/>
      <c r="L30" s="6" t="n"/>
    </row>
    <row r="31">
      <c r="A31" s="4" t="n">
        <v>27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5" t="n"/>
      <c r="L31" s="4" t="n"/>
    </row>
    <row r="32">
      <c r="A32" s="6" t="n">
        <v>28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7" t="n"/>
      <c r="L32" s="6" t="n"/>
    </row>
    <row r="33">
      <c r="A33" s="4" t="n">
        <v>29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5" t="n"/>
      <c r="L33" s="4" t="n"/>
    </row>
    <row r="34">
      <c r="A34" s="6" t="n">
        <v>30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7" t="n"/>
      <c r="L34" s="6" t="n"/>
    </row>
    <row r="35">
      <c r="A35" s="4" t="n">
        <v>31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5" t="n"/>
      <c r="L35" s="4" t="n"/>
    </row>
    <row r="36">
      <c r="A36" s="6" t="n">
        <v>32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7" t="n"/>
      <c r="L36" s="6" t="n"/>
    </row>
    <row r="37">
      <c r="A37" s="4" t="n">
        <v>33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5" t="n"/>
      <c r="L37" s="4" t="n"/>
    </row>
    <row r="38">
      <c r="A38" s="6" t="n">
        <v>34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7" t="n"/>
      <c r="L38" s="6" t="n"/>
    </row>
    <row r="39">
      <c r="A39" s="4" t="n">
        <v>35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5" t="n"/>
      <c r="L39" s="4" t="n"/>
    </row>
    <row r="40">
      <c r="A40" s="6" t="n">
        <v>36</v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7" t="n"/>
      <c r="L40" s="6" t="n"/>
    </row>
    <row r="41">
      <c r="A41" s="4" t="n">
        <v>37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5" t="n"/>
      <c r="L41" s="4" t="n"/>
    </row>
    <row r="42">
      <c r="A42" s="6" t="n">
        <v>38</v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7" t="n"/>
      <c r="L42" s="6" t="n"/>
    </row>
    <row r="43">
      <c r="A43" s="4" t="n">
        <v>39</v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5" t="n"/>
      <c r="L43" s="4" t="n"/>
    </row>
    <row r="44">
      <c r="A44" s="6" t="n">
        <v>40</v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7" t="n"/>
      <c r="L44" s="6" t="n"/>
    </row>
  </sheetData>
  <dataValidations count="3">
    <dataValidation sqref="I5:I44" showDropDown="0" showInputMessage="0" showErrorMessage="0" allowBlank="1" type="list">
      <formula1>"新規,特典送付済,フォロー中,相談予約,相談実施,成約,見送り"</formula1>
    </dataValidation>
    <dataValidation sqref="C5:C44" showDropDown="0" showInputMessage="0" showErrorMessage="0" allowBlank="1" type="list">
      <formula1>"Threads,Instagram,紹介,その他"</formula1>
    </dataValidation>
    <dataValidation sqref="E5:E44" showDropDown="0" showInputMessage="0" showErrorMessage="0" allowBlank="1" type="list">
      <formula1>"済,未"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週次KPIボード</t>
        </is>
      </c>
    </row>
    <row r="2">
      <c r="A2" s="2" t="inlineStr">
        <is>
          <t>毎週の数字を入れると、右側の『通過率』が自動計算されます。ボトルネック（追加数・相談化率）を毎週改善しましょう。</t>
        </is>
      </c>
    </row>
    <row r="4" ht="30" customHeight="1">
      <c r="A4" s="3" t="inlineStr">
        <is>
          <t>週</t>
        </is>
      </c>
      <c r="B4" s="3" t="inlineStr">
        <is>
          <t>投稿数</t>
        </is>
      </c>
      <c r="C4" s="3" t="inlineStr">
        <is>
          <t>インプレッション</t>
        </is>
      </c>
      <c r="D4" s="3" t="inlineStr">
        <is>
          <t>プロフクリック</t>
        </is>
      </c>
      <c r="E4" s="3" t="inlineStr">
        <is>
          <t>LINE追加</t>
        </is>
      </c>
      <c r="F4" s="3" t="inlineStr">
        <is>
          <t>相談予約</t>
        </is>
      </c>
      <c r="G4" s="3" t="inlineStr">
        <is>
          <t>相談実施</t>
        </is>
      </c>
      <c r="H4" s="3" t="inlineStr">
        <is>
          <t>成約</t>
        </is>
      </c>
      <c r="I4" s="3" t="inlineStr">
        <is>
          <t>売上（円）</t>
        </is>
      </c>
      <c r="J4" s="3" t="inlineStr">
        <is>
          <t>プロフクリック率</t>
        </is>
      </c>
      <c r="K4" s="3" t="inlineStr">
        <is>
          <t>追加率</t>
        </is>
      </c>
      <c r="L4" s="3" t="inlineStr">
        <is>
          <t>相談化率</t>
        </is>
      </c>
      <c r="M4" s="3" t="inlineStr">
        <is>
          <t>成約率</t>
        </is>
      </c>
    </row>
    <row r="5">
      <c r="A5" s="4" t="inlineStr">
        <is>
          <t>1週目</t>
        </is>
      </c>
      <c r="B5" s="4" t="n"/>
      <c r="C5" s="4" t="n"/>
      <c r="D5" s="4" t="n"/>
      <c r="E5" s="4" t="n"/>
      <c r="F5" s="4" t="n"/>
      <c r="G5" s="4" t="n"/>
      <c r="H5" s="4" t="n"/>
      <c r="I5" s="5" t="n"/>
      <c r="J5" s="8">
        <f>IFERROR(D5/C5,"")</f>
        <v/>
      </c>
      <c r="K5" s="8">
        <f>IFERROR(E5/D5,"")</f>
        <v/>
      </c>
      <c r="L5" s="8">
        <f>IFERROR(G5/E5,"")</f>
        <v/>
      </c>
      <c r="M5" s="8">
        <f>IFERROR(H5/G5,"")</f>
        <v/>
      </c>
    </row>
    <row r="6">
      <c r="A6" s="6" t="inlineStr">
        <is>
          <t>2週目</t>
        </is>
      </c>
      <c r="B6" s="6" t="n"/>
      <c r="C6" s="6" t="n"/>
      <c r="D6" s="6" t="n"/>
      <c r="E6" s="6" t="n"/>
      <c r="F6" s="6" t="n"/>
      <c r="G6" s="6" t="n"/>
      <c r="H6" s="6" t="n"/>
      <c r="I6" s="7" t="n"/>
      <c r="J6" s="9">
        <f>IFERROR(D6/C6,"")</f>
        <v/>
      </c>
      <c r="K6" s="9">
        <f>IFERROR(E6/D6,"")</f>
        <v/>
      </c>
      <c r="L6" s="9">
        <f>IFERROR(G6/E6,"")</f>
        <v/>
      </c>
      <c r="M6" s="9">
        <f>IFERROR(H6/G6,"")</f>
        <v/>
      </c>
    </row>
    <row r="7">
      <c r="A7" s="4" t="inlineStr">
        <is>
          <t>3週目</t>
        </is>
      </c>
      <c r="B7" s="4" t="n"/>
      <c r="C7" s="4" t="n"/>
      <c r="D7" s="4" t="n"/>
      <c r="E7" s="4" t="n"/>
      <c r="F7" s="4" t="n"/>
      <c r="G7" s="4" t="n"/>
      <c r="H7" s="4" t="n"/>
      <c r="I7" s="5" t="n"/>
      <c r="J7" s="8">
        <f>IFERROR(D7/C7,"")</f>
        <v/>
      </c>
      <c r="K7" s="8">
        <f>IFERROR(E7/D7,"")</f>
        <v/>
      </c>
      <c r="L7" s="8">
        <f>IFERROR(G7/E7,"")</f>
        <v/>
      </c>
      <c r="M7" s="8">
        <f>IFERROR(H7/G7,"")</f>
        <v/>
      </c>
    </row>
    <row r="8">
      <c r="A8" s="6" t="inlineStr">
        <is>
          <t>4週目</t>
        </is>
      </c>
      <c r="B8" s="6" t="n"/>
      <c r="C8" s="6" t="n"/>
      <c r="D8" s="6" t="n"/>
      <c r="E8" s="6" t="n"/>
      <c r="F8" s="6" t="n"/>
      <c r="G8" s="6" t="n"/>
      <c r="H8" s="6" t="n"/>
      <c r="I8" s="7" t="n"/>
      <c r="J8" s="9">
        <f>IFERROR(D8/C8,"")</f>
        <v/>
      </c>
      <c r="K8" s="9">
        <f>IFERROR(E8/D8,"")</f>
        <v/>
      </c>
      <c r="L8" s="9">
        <f>IFERROR(G8/E8,"")</f>
        <v/>
      </c>
      <c r="M8" s="9">
        <f>IFERROR(H8/G8,"")</f>
        <v/>
      </c>
    </row>
    <row r="9">
      <c r="A9" s="4" t="inlineStr">
        <is>
          <t>5週目</t>
        </is>
      </c>
      <c r="B9" s="4" t="n"/>
      <c r="C9" s="4" t="n"/>
      <c r="D9" s="4" t="n"/>
      <c r="E9" s="4" t="n"/>
      <c r="F9" s="4" t="n"/>
      <c r="G9" s="4" t="n"/>
      <c r="H9" s="4" t="n"/>
      <c r="I9" s="5" t="n"/>
      <c r="J9" s="8">
        <f>IFERROR(D9/C9,"")</f>
        <v/>
      </c>
      <c r="K9" s="8">
        <f>IFERROR(E9/D9,"")</f>
        <v/>
      </c>
      <c r="L9" s="8">
        <f>IFERROR(G9/E9,"")</f>
        <v/>
      </c>
      <c r="M9" s="8">
        <f>IFERROR(H9/G9,"")</f>
        <v/>
      </c>
    </row>
    <row r="10">
      <c r="A10" s="6" t="inlineStr">
        <is>
          <t>6週目</t>
        </is>
      </c>
      <c r="B10" s="6" t="n"/>
      <c r="C10" s="6" t="n"/>
      <c r="D10" s="6" t="n"/>
      <c r="E10" s="6" t="n"/>
      <c r="F10" s="6" t="n"/>
      <c r="G10" s="6" t="n"/>
      <c r="H10" s="6" t="n"/>
      <c r="I10" s="7" t="n"/>
      <c r="J10" s="9">
        <f>IFERROR(D10/C10,"")</f>
        <v/>
      </c>
      <c r="K10" s="9">
        <f>IFERROR(E10/D10,"")</f>
        <v/>
      </c>
      <c r="L10" s="9">
        <f>IFERROR(G10/E10,"")</f>
        <v/>
      </c>
      <c r="M10" s="9">
        <f>IFERROR(H10/G10,"")</f>
        <v/>
      </c>
    </row>
    <row r="11">
      <c r="A11" s="4" t="inlineStr">
        <is>
          <t>7週目</t>
        </is>
      </c>
      <c r="B11" s="4" t="n"/>
      <c r="C11" s="4" t="n"/>
      <c r="D11" s="4" t="n"/>
      <c r="E11" s="4" t="n"/>
      <c r="F11" s="4" t="n"/>
      <c r="G11" s="4" t="n"/>
      <c r="H11" s="4" t="n"/>
      <c r="I11" s="5" t="n"/>
      <c r="J11" s="8">
        <f>IFERROR(D11/C11,"")</f>
        <v/>
      </c>
      <c r="K11" s="8">
        <f>IFERROR(E11/D11,"")</f>
        <v/>
      </c>
      <c r="L11" s="8">
        <f>IFERROR(G11/E11,"")</f>
        <v/>
      </c>
      <c r="M11" s="8">
        <f>IFERROR(H11/G11,"")</f>
        <v/>
      </c>
    </row>
    <row r="12">
      <c r="A12" s="6" t="inlineStr">
        <is>
          <t>8週目</t>
        </is>
      </c>
      <c r="B12" s="6" t="n"/>
      <c r="C12" s="6" t="n"/>
      <c r="D12" s="6" t="n"/>
      <c r="E12" s="6" t="n"/>
      <c r="F12" s="6" t="n"/>
      <c r="G12" s="6" t="n"/>
      <c r="H12" s="6" t="n"/>
      <c r="I12" s="7" t="n"/>
      <c r="J12" s="9">
        <f>IFERROR(D12/C12,"")</f>
        <v/>
      </c>
      <c r="K12" s="9">
        <f>IFERROR(E12/D12,"")</f>
        <v/>
      </c>
      <c r="L12" s="9">
        <f>IFERROR(G12/E12,"")</f>
        <v/>
      </c>
      <c r="M12" s="9">
        <f>IFERROR(H12/G12,"")</f>
        <v/>
      </c>
    </row>
    <row r="13">
      <c r="A13" s="10" t="inlineStr">
        <is>
          <t>合計/平均</t>
        </is>
      </c>
      <c r="B13" s="10">
        <f>SUM(B5:B12)</f>
        <v/>
      </c>
      <c r="C13" s="10">
        <f>SUM(C5:C12)</f>
        <v/>
      </c>
      <c r="D13" s="10">
        <f>SUM(D5:D12)</f>
        <v/>
      </c>
      <c r="E13" s="10">
        <f>SUM(E5:E12)</f>
        <v/>
      </c>
      <c r="F13" s="10">
        <f>SUM(F5:F12)</f>
        <v/>
      </c>
      <c r="G13" s="10">
        <f>SUM(G5:G12)</f>
        <v/>
      </c>
      <c r="H13" s="10">
        <f>SUM(H5:H12)</f>
        <v/>
      </c>
      <c r="I13" s="11">
        <f>SUM(I5:I12)</f>
        <v/>
      </c>
      <c r="J13" s="12">
        <f>IFERROR(D13/C13,"")</f>
        <v/>
      </c>
      <c r="K13" s="12">
        <f>IFERROR(E13/D13,"")</f>
        <v/>
      </c>
      <c r="L13" s="12">
        <f>IFERROR(G13/E13,"")</f>
        <v/>
      </c>
      <c r="M13" s="12">
        <f>IFERROR(H13/G13,"")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目標からの逆算（必要な数）</t>
        </is>
      </c>
    </row>
    <row r="2">
      <c r="A2" s="2" t="inlineStr">
        <is>
          <t>黄色いセル（目標成約数・各通過率）を変えると、必要な相談・LINE追加・プロフクリック数が自動計算されます。</t>
        </is>
      </c>
    </row>
    <row r="4">
      <c r="A4" s="13" t="inlineStr">
        <is>
          <t>月の目標 成約数（件）</t>
        </is>
      </c>
      <c r="B4" s="14" t="n">
        <v>3</v>
      </c>
    </row>
    <row r="5">
      <c r="A5" s="13" t="inlineStr">
        <is>
          <t>相談→成約の通過率</t>
        </is>
      </c>
      <c r="B5" s="15" t="n">
        <v>0.3</v>
      </c>
    </row>
    <row r="6">
      <c r="A6" s="13" t="inlineStr">
        <is>
          <t>LINE追加→相談 の通過率</t>
        </is>
      </c>
      <c r="B6" s="15" t="n">
        <v>0.3</v>
      </c>
    </row>
    <row r="7">
      <c r="A7" s="13" t="inlineStr">
        <is>
          <t>プロフクリック→LINE追加 の通過率</t>
        </is>
      </c>
      <c r="B7" s="15" t="n">
        <v>0.25</v>
      </c>
    </row>
    <row r="8">
      <c r="A8" s="13" t="inlineStr">
        <is>
          <t>営業日数（月）</t>
        </is>
      </c>
      <c r="B8" s="14" t="n">
        <v>20</v>
      </c>
    </row>
    <row r="10">
      <c r="A10" s="13" t="inlineStr">
        <is>
          <t>必要な 無料相談（件/月）</t>
        </is>
      </c>
      <c r="B10" s="16">
        <f>IFERROR(B4/B5,"")</f>
        <v/>
      </c>
    </row>
    <row r="11">
      <c r="A11" s="13" t="inlineStr">
        <is>
          <t>必要な LINE追加（件/月）</t>
        </is>
      </c>
      <c r="B11" s="16">
        <f>IFERROR(B10/B6,"")</f>
        <v/>
      </c>
    </row>
    <row r="12">
      <c r="A12" s="13" t="inlineStr">
        <is>
          <t>必要な プロフクリック（件/月）</t>
        </is>
      </c>
      <c r="B12" s="16">
        <f>IFERROR(B11/B7,"")</f>
        <v/>
      </c>
    </row>
    <row r="13">
      <c r="A13" s="13" t="inlineStr">
        <is>
          <t>1営業日あたり プロフクリック</t>
        </is>
      </c>
      <c r="B13" s="16">
        <f>IFERROR(B12/B8,"")</f>
        <v/>
      </c>
    </row>
    <row r="15">
      <c r="A15" s="2" t="inlineStr">
        <is>
          <t>※通過率は仮の目安です。実測（週次KPI）に合わせて数字を書き換えてください。成果を保証するものではありません。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2026-08-11T12:31:45Z</dcterms:created>
  <dcterms:modified xsi:type="dcterms:W3CDTF">2026-08-11T12:31:45Z</dcterms:modified>
</cp:coreProperties>
</file>