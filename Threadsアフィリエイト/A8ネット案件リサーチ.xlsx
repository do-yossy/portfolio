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案件一覧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&quot;-&quot;"/>
    <numFmt numFmtId="165" formatCode="0.00%;-0.00%;&quot;-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2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A8案件一覧" displayName="A8案件一覧" ref="A1:AA115" headerRowCount="1">
  <autoFilter ref="A1:Z28"/>
  <tableColumns count="26">
    <tableColumn id="1" name="No."/>
    <tableColumn id="2" name="案件名"/>
    <tableColumn id="3" name="広告主"/>
    <tableColumn id="4" name="ジャンル区分"/>
    <tableColumn id="5" name="対象・ターゲット"/>
    <tableColumn id="6" name="報酬(円)"/>
    <tableColumn id="7" name="報酬メモ"/>
    <tableColumn id="8" name="成果地点"/>
    <tableColumn id="9" name="確定率"/>
    <tableColumn id="10" name="EPC(円)"/>
    <tableColumn id="11" name="実質単価(円)"/>
    <tableColumn id="12" name="クッキー期間"/>
    <tableColumn id="13" name="確定目安"/>
    <tableColumn id="14" name="承認条件"/>
    <tableColumn id="15" name="否認条件"/>
    <tableColumn id="16" name="リスティング可否"/>
    <tableColumn id="17" name="本人申込可否"/>
    <tableColumn id="18" name="SNS集客可否"/>
    <tableColumn id="19" name="LINE誘導可否"/>
    <tableColumn id="20" name="審査有無"/>
    <tableColumn id="21" name="画像素材制限"/>
    <tableColumn id="22" name="優先度"/>
    <tableColumn id="23" name="判定・コメント"/>
    <tableColumn id="24" name="詳細確認状況"/>
    <tableColumn id="25" name="データ出所"/>
    <tableColumn id="26" name="追加日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A8.net 転職アフィリエイト案件リサーチ</t>
        </is>
      </c>
    </row>
    <row r="2">
      <c r="A2" s="2" t="inlineStr"/>
    </row>
    <row r="3">
      <c r="A3" s="3" t="inlineStr">
        <is>
          <t>■ このファイルについて</t>
        </is>
      </c>
    </row>
    <row r="4">
      <c r="A4" s="2" t="inlineStr">
        <is>
          <t>「案件一覧」シートに、A8.net「就職・転職」カテゴリの提携プログラムを1案件1行でまとめています。</t>
        </is>
      </c>
    </row>
    <row r="5">
      <c r="A5" s="2" t="inlineStr">
        <is>
          <t>写真（A8.netの案件詳細画面のスクリーンショット等）を送っていただければ、その内容を読み取って</t>
        </is>
      </c>
    </row>
    <row r="6">
      <c r="A6" s="2" t="inlineStr">
        <is>
          <t>行を追加・更新し、都度このファイルを更新してお渡しします。</t>
        </is>
      </c>
    </row>
    <row r="7">
      <c r="A7" s="2" t="inlineStr"/>
    </row>
    <row r="8">
      <c r="A8" s="3" t="inlineStr">
        <is>
          <t>■ 絞り込み方法</t>
        </is>
      </c>
    </row>
    <row r="9">
      <c r="A9" s="2" t="inlineStr">
        <is>
          <t>「案件一覧」シートの1行目（見出し行）にはフィルターが設定済みです。</t>
        </is>
      </c>
    </row>
    <row r="10">
      <c r="A10" s="2" t="inlineStr">
        <is>
          <t>各列の見出しにある▼をクリックすると、その項目の値で絞り込み・並べ替えができます。</t>
        </is>
      </c>
    </row>
    <row r="11">
      <c r="A11" s="2" t="inlineStr">
        <is>
          <t>例：「優先度」列で「本命」だけに絞る／「リスティング可否」列で「NG」を除外する、など。</t>
        </is>
      </c>
    </row>
    <row r="12">
      <c r="A12" s="2" t="inlineStr"/>
    </row>
    <row r="13">
      <c r="A13" s="3" t="inlineStr">
        <is>
          <t>■ 列の見方</t>
        </is>
      </c>
    </row>
    <row r="14">
      <c r="A14" s="2" t="inlineStr">
        <is>
          <t>・報酬(円) / 確定率 / EPC(円) は数値列です。実質単価(円)は「報酬×確定率」の自動計算（両方とも数値がある場合のみ）。</t>
        </is>
      </c>
    </row>
    <row r="15">
      <c r="A15" s="2" t="inlineStr">
        <is>
          <t>・確定率が「データなし」「表示なし」の案件は空欄にしています（0%と区別するため）。</t>
        </is>
      </c>
    </row>
    <row r="16">
      <c r="A16" s="2" t="inlineStr">
        <is>
          <t>・「未確認」「不明」は、まだ元データに記載がない／読み取れていない項目です。空欄より優先して埋めてください。</t>
        </is>
      </c>
    </row>
    <row r="17">
      <c r="A17" s="2" t="inlineStr">
        <is>
          <t>・「詳細確認状況」列で、まだ写真をもらっていない案件（＝未分析）を絞り込めます。</t>
        </is>
      </c>
    </row>
    <row r="18">
      <c r="A18" s="2" t="inlineStr"/>
    </row>
    <row r="19">
      <c r="A19" s="3" t="inlineStr">
        <is>
          <t>■ データの限界</t>
        </is>
      </c>
    </row>
    <row r="20">
      <c r="A20" s="2" t="inlineStr">
        <is>
          <t>・初期データの出所：A8.net 即時提携プログラム一覧PDF (2026-09-03/09-05時点)</t>
        </is>
      </c>
    </row>
    <row r="21">
      <c r="A21" s="2" t="inlineStr">
        <is>
          <t>・数値・条件は元PDFを読み取った内容の整理であり、提携申請前に必ずA8.net上の実際の案件詳細ページで再確認してください。</t>
        </is>
      </c>
    </row>
    <row r="22">
      <c r="A22" s="2" t="inlineStr">
        <is>
          <t>・SNS集客可否・LINE誘導可否は、16件の詳細分析済み案件でも「明記なし」がほとんどです。提携申請時のアピールサイト審査で個別に判断されます。</t>
        </is>
      </c>
    </row>
    <row r="23">
      <c r="A23" s="2" t="inlineStr"/>
    </row>
    <row r="24">
      <c r="A24" s="3" t="inlineStr">
        <is>
          <t>■ 関連ドキュメント（本リポジトリ内）</t>
        </is>
      </c>
    </row>
    <row r="25">
      <c r="A25" s="2" t="inlineStr">
        <is>
          <t>Threadsアフィリエイト/11-A8ネット転職ASP案件マップ.md</t>
        </is>
      </c>
    </row>
    <row r="26">
      <c r="A26" s="2" t="inlineStr">
        <is>
          <t>Threadsアフィリエイト/10-出口設計とLTV.md</t>
        </is>
      </c>
    </row>
    <row r="27">
      <c r="A27" s="2" t="inlineStr">
        <is>
          <t>Threadsアフィリエイト/03-規約・法令チェックリスト.md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4" customWidth="1" min="4" max="4"/>
    <col width="26" customWidth="1" min="5" max="5"/>
    <col width="11" customWidth="1" min="6" max="6"/>
    <col width="30" customWidth="1" min="7" max="7"/>
    <col width="16" customWidth="1" min="8" max="8"/>
    <col width="9" customWidth="1" min="9" max="9"/>
    <col width="10" customWidth="1" min="10" max="10"/>
    <col width="11" customWidth="1" min="11" max="11"/>
    <col width="12" customWidth="1" min="12" max="12"/>
    <col width="12" customWidth="1" min="13" max="13"/>
    <col width="34" customWidth="1" min="14" max="14"/>
    <col width="34" customWidth="1" min="15" max="15"/>
    <col width="12" customWidth="1" min="16" max="16"/>
    <col width="12" customWidth="1" min="17" max="17"/>
    <col width="22" customWidth="1" min="18" max="18"/>
    <col width="12" customWidth="1" min="19" max="19"/>
    <col width="10" customWidth="1" min="20" max="20"/>
    <col width="22" customWidth="1" min="21" max="21"/>
    <col width="12" customWidth="1" min="22" max="22"/>
    <col width="40" customWidth="1" min="23" max="23"/>
    <col width="12" customWidth="1" min="24" max="24"/>
    <col width="30" customWidth="1" min="25" max="25"/>
    <col width="12" customWidth="1" min="26" max="26"/>
    <col width="22" customWidth="1" min="27" max="27"/>
  </cols>
  <sheetData>
    <row r="1" ht="30" customHeight="1">
      <c r="A1" s="4" t="inlineStr">
        <is>
          <t>No.</t>
        </is>
      </c>
      <c r="B1" s="4" t="inlineStr">
        <is>
          <t>案件名</t>
        </is>
      </c>
      <c r="C1" s="4" t="inlineStr">
        <is>
          <t>広告主</t>
        </is>
      </c>
      <c r="D1" s="4" t="inlineStr">
        <is>
          <t>ジャンル区分</t>
        </is>
      </c>
      <c r="E1" s="4" t="inlineStr">
        <is>
          <t>対象・ターゲット</t>
        </is>
      </c>
      <c r="F1" s="4" t="inlineStr">
        <is>
          <t>報酬(円)</t>
        </is>
      </c>
      <c r="G1" s="4" t="inlineStr">
        <is>
          <t>報酬メモ</t>
        </is>
      </c>
      <c r="H1" s="4" t="inlineStr">
        <is>
          <t>成果地点</t>
        </is>
      </c>
      <c r="I1" s="4" t="inlineStr">
        <is>
          <t>確定率</t>
        </is>
      </c>
      <c r="J1" s="4" t="inlineStr">
        <is>
          <t>EPC(円)</t>
        </is>
      </c>
      <c r="K1" s="4" t="inlineStr">
        <is>
          <t>実質単価(円)</t>
        </is>
      </c>
      <c r="L1" s="4" t="inlineStr">
        <is>
          <t>クッキー期間</t>
        </is>
      </c>
      <c r="M1" s="4" t="inlineStr">
        <is>
          <t>確定目安</t>
        </is>
      </c>
      <c r="N1" s="4" t="inlineStr">
        <is>
          <t>承認条件</t>
        </is>
      </c>
      <c r="O1" s="4" t="inlineStr">
        <is>
          <t>否認条件</t>
        </is>
      </c>
      <c r="P1" s="4" t="inlineStr">
        <is>
          <t>リスティング可否</t>
        </is>
      </c>
      <c r="Q1" s="4" t="inlineStr">
        <is>
          <t>本人申込可否</t>
        </is>
      </c>
      <c r="R1" s="4" t="inlineStr">
        <is>
          <t>SNS集客可否</t>
        </is>
      </c>
      <c r="S1" s="4" t="inlineStr">
        <is>
          <t>LINE誘導可否</t>
        </is>
      </c>
      <c r="T1" s="4" t="inlineStr">
        <is>
          <t>審査有無</t>
        </is>
      </c>
      <c r="U1" s="4" t="inlineStr">
        <is>
          <t>画像素材制限</t>
        </is>
      </c>
      <c r="V1" s="4" t="inlineStr">
        <is>
          <t>優先度</t>
        </is>
      </c>
      <c r="W1" s="4" t="inlineStr">
        <is>
          <t>判定・コメント</t>
        </is>
      </c>
      <c r="X1" s="4" t="inlineStr">
        <is>
          <t>詳細確認状況</t>
        </is>
      </c>
      <c r="Y1" s="4" t="inlineStr">
        <is>
          <t>データ出所</t>
        </is>
      </c>
      <c r="Z1" s="4" t="inlineStr">
        <is>
          <t>追加日</t>
        </is>
      </c>
      <c r="AA1" s="4" t="inlineStr">
        <is>
          <t>プログラムID</t>
        </is>
      </c>
    </row>
    <row r="2">
      <c r="A2" s="5" t="n">
        <v>1</v>
      </c>
      <c r="B2" s="5" t="inlineStr">
        <is>
          <t>JAIC就職カレッジ</t>
        </is>
      </c>
      <c r="C2" s="5" t="inlineStr">
        <is>
          <t>株式会社ジェイック</t>
        </is>
      </c>
      <c r="D2" s="5" t="inlineStr">
        <is>
          <t>未経験・一般</t>
        </is>
      </c>
      <c r="E2" s="5" t="inlineStr">
        <is>
          <t>20代のフリーター・既卒・大学中退者</t>
        </is>
      </c>
      <c r="F2" s="6" t="n">
        <v>22000</v>
      </c>
      <c r="G2" s="5" t="inlineStr">
        <is>
          <t>キャンペーン中（通常15,000円）。2件以上承認で19,500円、5件以上で24,500円（税抜、適用開始10/5〜、期限2026/09/25）</t>
        </is>
      </c>
      <c r="H2" s="5" t="inlineStr">
        <is>
          <t>面談実施完了</t>
        </is>
      </c>
      <c r="I2" s="7" t="n">
        <v>0.4395</v>
      </c>
      <c r="J2" s="6" t="n">
        <v>917</v>
      </c>
      <c r="K2" s="8">
        <f>IF(OR(F2="",I2=""),"",F2*I2)</f>
        <v/>
      </c>
      <c r="L2" s="5" t="inlineStr">
        <is>
          <t>90日［初回のみ］</t>
        </is>
      </c>
      <c r="M2" s="5" t="inlineStr">
        <is>
          <t>約30日</t>
        </is>
      </c>
      <c r="N2" s="5" t="inlineStr">
        <is>
          <t>広告主新規／WEB申込後30日以内の面談実施完了／対象エリア限定／精神疾患をお持ちでない方</t>
        </is>
      </c>
      <c r="O2" s="5" t="inlineStr">
        <is>
          <t>キャンセル・不正・申込不備・虚偽・いたずら・重複成果・本人確認不備・1世帯2回以上・リスティング違反</t>
        </is>
      </c>
      <c r="P2" s="5" t="inlineStr">
        <is>
          <t>NG</t>
        </is>
      </c>
      <c r="Q2" s="5" t="inlineStr">
        <is>
          <t>NG</t>
        </is>
      </c>
      <c r="R2" s="5" t="inlineStr">
        <is>
          <t>未確認</t>
        </is>
      </c>
      <c r="S2" s="5" t="inlineStr">
        <is>
          <t>未確認</t>
        </is>
      </c>
      <c r="T2" s="5" t="inlineStr">
        <is>
          <t>あり</t>
        </is>
      </c>
      <c r="U2" s="5" t="inlineStr">
        <is>
          <t>不明</t>
        </is>
      </c>
      <c r="V2" s="5" t="inlineStr">
        <is>
          <t>本命</t>
        </is>
      </c>
      <c r="W2" s="5" t="inlineStr">
        <is>
          <t>書類選考なしの集団選考会が独自の強み。EPCが非医療で最高。承認条件に精神疾患の有無があるため訴求は「正社員になりたい」方向に寄せる
【追記】写真で再確認：EPC991.41・確定率43.95%（既存分析と整合）。段階報酬キャンペーン（2件以上19,500円/5件以上24,500円、期限2026/09/25）を再確認</t>
        </is>
      </c>
      <c r="X2" s="5" t="inlineStr">
        <is>
          <t>済</t>
        </is>
      </c>
      <c r="Y2" s="5" t="inlineStr">
        <is>
          <t>A8.net 即時提携プログラム一覧PDF (2026-09-03/09-05時点)</t>
        </is>
      </c>
      <c r="Z2" s="5" t="inlineStr">
        <is>
          <t>2026-09-05</t>
        </is>
      </c>
      <c r="AA2" t="inlineStr">
        <is>
          <t>s00000027574001</t>
        </is>
      </c>
    </row>
    <row r="3">
      <c r="A3" s="5" t="n">
        <v>2</v>
      </c>
      <c r="B3" s="5" t="inlineStr">
        <is>
          <t>ナース専科 転職</t>
        </is>
      </c>
      <c r="C3" s="5" t="inlineStr">
        <is>
          <t>株式会社エス・エム・エス</t>
        </is>
      </c>
      <c r="D3" s="5" t="inlineStr">
        <is>
          <t>医療(看護師)</t>
        </is>
      </c>
      <c r="E3" s="5" t="inlineStr">
        <is>
          <t>看護師</t>
        </is>
      </c>
      <c r="F3" s="6" t="n">
        <v>26000</v>
      </c>
      <c r="G3" s="5" t="inlineStr"/>
      <c r="H3" s="5" t="inlineStr">
        <is>
          <t>新規申込</t>
        </is>
      </c>
      <c r="I3" s="7" t="n">
        <v>0.9871</v>
      </c>
      <c r="J3" s="6" t="n">
        <v>4281</v>
      </c>
      <c r="K3" s="8">
        <f>IF(OR(F3="",I3=""),"",F3*I3)</f>
        <v/>
      </c>
      <c r="L3" s="5" t="inlineStr"/>
      <c r="M3" s="5" t="inlineStr"/>
      <c r="N3" s="5" t="inlineStr">
        <is>
          <t>WEB申込後、電話がつながり本人確認＋転職意向確認</t>
        </is>
      </c>
      <c r="O3" s="5" t="inlineStr">
        <is>
          <t>看護学生・准看護師は対象外／虚偽・いたずら／リスティング違反</t>
        </is>
      </c>
      <c r="P3" s="5" t="inlineStr">
        <is>
          <t>NG</t>
        </is>
      </c>
      <c r="Q3" s="5" t="inlineStr">
        <is>
          <t>NG</t>
        </is>
      </c>
      <c r="R3" s="5" t="inlineStr">
        <is>
          <t>未確認</t>
        </is>
      </c>
      <c r="S3" s="5" t="inlineStr">
        <is>
          <t>未確認</t>
        </is>
      </c>
      <c r="T3" s="5" t="inlineStr">
        <is>
          <t>不明</t>
        </is>
      </c>
      <c r="U3" s="5" t="inlineStr">
        <is>
          <t>不明</t>
        </is>
      </c>
      <c r="V3" s="5" t="inlineStr">
        <is>
          <t>A</t>
        </is>
      </c>
      <c r="W3" s="5" t="inlineStr">
        <is>
          <t>確定率・EPCともに全体最高クラス。備考欄に掲載ルール7項目あり全文要確認</t>
        </is>
      </c>
      <c r="X3" s="5" t="inlineStr">
        <is>
          <t>済</t>
        </is>
      </c>
      <c r="Y3" s="5" t="inlineStr">
        <is>
          <t>A8.net 即時提携プログラム一覧PDF (2026-09-03/09-05時点)</t>
        </is>
      </c>
      <c r="Z3" s="5" t="inlineStr">
        <is>
          <t>2026-09-05</t>
        </is>
      </c>
    </row>
    <row r="4">
      <c r="A4" s="5" t="n">
        <v>3</v>
      </c>
      <c r="B4" s="5" t="inlineStr">
        <is>
          <t>ユニゾンキャリア</t>
        </is>
      </c>
      <c r="C4" s="5" t="inlineStr">
        <is>
          <t>未確認</t>
        </is>
      </c>
      <c r="D4" s="5" t="inlineStr">
        <is>
          <t>IT(未経験可)</t>
        </is>
      </c>
      <c r="E4" s="5" t="inlineStr">
        <is>
          <t>ITエンジニア</t>
        </is>
      </c>
      <c r="F4" s="6" t="n">
        <v>18000</v>
      </c>
      <c r="G4" s="5" t="inlineStr"/>
      <c r="H4" s="5" t="inlineStr">
        <is>
          <t>無料相談</t>
        </is>
      </c>
      <c r="I4" s="7" t="n">
        <v>0.8666</v>
      </c>
      <c r="J4" s="6" t="n">
        <v>2059</v>
      </c>
      <c r="K4" s="8">
        <f>IF(OR(F4="",I4=""),"",F4*I4)</f>
        <v/>
      </c>
      <c r="L4" s="5" t="inlineStr"/>
      <c r="M4" s="5" t="inlineStr"/>
      <c r="N4" s="5" t="inlineStr">
        <is>
          <t>未確認（一覧値のみ）</t>
        </is>
      </c>
      <c r="O4" s="5" t="inlineStr">
        <is>
          <t>未確認（一覧値のみ）</t>
        </is>
      </c>
      <c r="P4" s="5" t="inlineStr">
        <is>
          <t>未確認</t>
        </is>
      </c>
      <c r="Q4" s="5" t="inlineStr">
        <is>
          <t>未確認</t>
        </is>
      </c>
      <c r="R4" s="5" t="inlineStr">
        <is>
          <t>未確認</t>
        </is>
      </c>
      <c r="S4" s="5" t="inlineStr">
        <is>
          <t>未確認</t>
        </is>
      </c>
      <c r="T4" s="5" t="inlineStr">
        <is>
          <t>未確認</t>
        </is>
      </c>
      <c r="U4" s="5" t="inlineStr">
        <is>
          <t>未確認</t>
        </is>
      </c>
      <c r="V4" s="5" t="inlineStr">
        <is>
          <t>要詳細確認</t>
        </is>
      </c>
      <c r="W4" s="5" t="inlineStr">
        <is>
          <t>壁が低くEPCも高い唯一の候補だが詳細ページ未確認のため優先度を確定できない</t>
        </is>
      </c>
      <c r="X4" s="5" t="inlineStr">
        <is>
          <t>未確認</t>
        </is>
      </c>
      <c r="Y4" s="5" t="inlineStr">
        <is>
          <t>A8.net 即時提携プログラム一覧PDF (2026-09-03/09-05時点)</t>
        </is>
      </c>
      <c r="Z4" s="5" t="inlineStr">
        <is>
          <t>2026-09-05</t>
        </is>
      </c>
    </row>
    <row r="5">
      <c r="A5" s="5" t="n">
        <v>4</v>
      </c>
      <c r="B5" s="5" t="inlineStr">
        <is>
          <t>国試黒本 治療家エージェント</t>
        </is>
      </c>
      <c r="C5" s="5" t="inlineStr">
        <is>
          <t>株式会社エス・エム・エス</t>
        </is>
      </c>
      <c r="D5" s="5" t="inlineStr">
        <is>
          <t>医療(柔整・鍼灸)</t>
        </is>
      </c>
      <c r="E5" s="5" t="inlineStr">
        <is>
          <t>柔道整復師・鍼灸師・あん摩マッサージ指圧師（資格取得予定の学生も対象）</t>
        </is>
      </c>
      <c r="F5" s="6" t="n">
        <v>26000</v>
      </c>
      <c r="G5" s="5" t="inlineStr"/>
      <c r="H5" s="5" t="inlineStr">
        <is>
          <t>初回登録完了</t>
        </is>
      </c>
      <c r="I5" s="7" t="n">
        <v>0.6714</v>
      </c>
      <c r="J5" s="6" t="n">
        <v>1910</v>
      </c>
      <c r="K5" s="8">
        <f>IF(OR(F5="",I5=""),"",F5*I5)</f>
        <v/>
      </c>
      <c r="L5" s="5" t="inlineStr"/>
      <c r="M5" s="5" t="inlineStr"/>
      <c r="N5" s="5" t="inlineStr">
        <is>
          <t>WEB登録後7日以内に電話連絡＋就職転職意欲の確認</t>
        </is>
      </c>
      <c r="O5" s="5" t="inlineStr">
        <is>
          <t>不備・不正・虚偽・いたずら・重複／リスティング違反</t>
        </is>
      </c>
      <c r="P5" s="5" t="inlineStr">
        <is>
          <t>NG</t>
        </is>
      </c>
      <c r="Q5" s="5" t="inlineStr">
        <is>
          <t>NG</t>
        </is>
      </c>
      <c r="R5" s="5" t="inlineStr">
        <is>
          <t>未確認</t>
        </is>
      </c>
      <c r="S5" s="5" t="inlineStr">
        <is>
          <t>未確認</t>
        </is>
      </c>
      <c r="T5" s="5" t="inlineStr">
        <is>
          <t>不明</t>
        </is>
      </c>
      <c r="U5" s="5" t="inlineStr">
        <is>
          <t>不明</t>
        </is>
      </c>
      <c r="V5" s="5" t="inlineStr">
        <is>
          <t>A</t>
        </is>
      </c>
      <c r="W5" s="5" t="inlineStr">
        <is>
          <t>競合が薄いニッチ。専門学校生という毎年入れ替わる需要</t>
        </is>
      </c>
      <c r="X5" s="5" t="inlineStr">
        <is>
          <t>済</t>
        </is>
      </c>
      <c r="Y5" s="5" t="inlineStr">
        <is>
          <t>A8.net 即時提携プログラム一覧PDF (2026-09-03/09-05時点)</t>
        </is>
      </c>
      <c r="Z5" s="5" t="inlineStr">
        <is>
          <t>2026-09-05</t>
        </is>
      </c>
    </row>
    <row r="6">
      <c r="A6" s="5" t="n">
        <v>5</v>
      </c>
      <c r="B6" s="5" t="inlineStr">
        <is>
          <t>テックゲートエキスパート</t>
        </is>
      </c>
      <c r="C6" s="5" t="inlineStr">
        <is>
          <t>未確認</t>
        </is>
      </c>
      <c r="D6" s="5" t="inlineStr">
        <is>
          <t>IT(ハイクラス)</t>
        </is>
      </c>
      <c r="E6" s="5" t="inlineStr">
        <is>
          <t>20〜30代ITコンサル・エンジニア</t>
        </is>
      </c>
      <c r="F6" s="6" t="n">
        <v>54000</v>
      </c>
      <c r="G6" s="5" t="inlineStr"/>
      <c r="H6" s="5" t="inlineStr">
        <is>
          <t>面談完了</t>
        </is>
      </c>
      <c r="I6" s="7" t="n">
        <v>0.75</v>
      </c>
      <c r="J6" s="6" t="n">
        <v>761</v>
      </c>
      <c r="K6" s="8">
        <f>IF(OR(F6="",I6=""),"",F6*I6)</f>
        <v/>
      </c>
      <c r="L6" s="5" t="inlineStr"/>
      <c r="M6" s="5" t="inlineStr"/>
      <c r="N6" s="5" t="inlineStr">
        <is>
          <t>未確認（一覧値のみ）</t>
        </is>
      </c>
      <c r="O6" s="5" t="inlineStr">
        <is>
          <t>未確認（一覧値のみ）</t>
        </is>
      </c>
      <c r="P6" s="5" t="inlineStr">
        <is>
          <t>未確認</t>
        </is>
      </c>
      <c r="Q6" s="5" t="inlineStr">
        <is>
          <t>未確認</t>
        </is>
      </c>
      <c r="R6" s="5" t="inlineStr">
        <is>
          <t>未確認</t>
        </is>
      </c>
      <c r="S6" s="5" t="inlineStr">
        <is>
          <t>未確認</t>
        </is>
      </c>
      <c r="T6" s="5" t="inlineStr">
        <is>
          <t>未確認</t>
        </is>
      </c>
      <c r="U6" s="5" t="inlineStr">
        <is>
          <t>未確認</t>
        </is>
      </c>
      <c r="V6" s="5" t="inlineStr">
        <is>
          <t>要詳細確認</t>
        </is>
      </c>
      <c r="W6" s="5" t="inlineStr">
        <is>
          <t>報酬とEPCのバランスは良いが詳細ページ未確認
【追記】写真で承認/否認条件を確認：承認＝WEB登録後30日以内の無料面談実施完了・対象はITエンジニア経験者かつ3年以上40歳以下／否認＝1世帯2回以上・入力不備・重複登録・海外在住／リスティング違反。当初「要詳細確認」だったが条件判明によりA相当に格上げ可能</t>
        </is>
      </c>
      <c r="X6" s="5" t="inlineStr">
        <is>
          <t>済</t>
        </is>
      </c>
      <c r="Y6" s="5" t="inlineStr">
        <is>
          <t>A8.net 即時提携プログラム一覧PDF (2026-09-03/09-05時点)</t>
        </is>
      </c>
      <c r="Z6" s="5" t="inlineStr">
        <is>
          <t>2026-09-05</t>
        </is>
      </c>
      <c r="AA6" t="inlineStr">
        <is>
          <t>s00000025047005</t>
        </is>
      </c>
    </row>
    <row r="7">
      <c r="A7" s="5" t="n">
        <v>6</v>
      </c>
      <c r="B7" s="5" t="inlineStr">
        <is>
          <t>ファル・メイト</t>
        </is>
      </c>
      <c r="C7" s="5" t="inlineStr">
        <is>
          <t>株式会社ファル・メイト</t>
        </is>
      </c>
      <c r="D7" s="5" t="inlineStr">
        <is>
          <t>医療(薬剤師)</t>
        </is>
      </c>
      <c r="E7" s="5" t="inlineStr">
        <is>
          <t>薬剤師</t>
        </is>
      </c>
      <c r="F7" s="6" t="n">
        <v>25000</v>
      </c>
      <c r="G7" s="5" t="inlineStr"/>
      <c r="H7" s="5" t="inlineStr">
        <is>
          <t>新規会員登録</t>
        </is>
      </c>
      <c r="I7" s="7" t="n">
        <v>0.8076</v>
      </c>
      <c r="J7" s="6" t="n">
        <v>575</v>
      </c>
      <c r="K7" s="8">
        <f>IF(OR(F7="",I7=""),"",F7*I7)</f>
        <v/>
      </c>
      <c r="L7" s="5" t="inlineStr"/>
      <c r="M7" s="5" t="inlineStr"/>
      <c r="N7" s="5" t="inlineStr">
        <is>
          <t>WEBより会員登録完了／薬剤師資格保有／就業意欲あり</t>
        </is>
      </c>
      <c r="O7" s="5" t="inlineStr">
        <is>
          <t>資格確認・本人確認が取れない／日本国内以外／就業意欲なし／虚偽・迷惑・いたずら・入力不備</t>
        </is>
      </c>
      <c r="P7" s="5" t="inlineStr">
        <is>
          <t>NG</t>
        </is>
      </c>
      <c r="Q7" s="5" t="inlineStr">
        <is>
          <t>NG</t>
        </is>
      </c>
      <c r="R7" s="5" t="inlineStr">
        <is>
          <t>未確認</t>
        </is>
      </c>
      <c r="S7" s="5" t="inlineStr">
        <is>
          <t>未確認</t>
        </is>
      </c>
      <c r="T7" s="5" t="inlineStr">
        <is>
          <t>不明</t>
        </is>
      </c>
      <c r="U7" s="5" t="inlineStr">
        <is>
          <t>不明</t>
        </is>
      </c>
      <c r="V7" s="5" t="inlineStr">
        <is>
          <t>A</t>
        </is>
      </c>
      <c r="W7" s="5" t="inlineStr">
        <is>
          <t>成果地点は最も浅いが到達率は低い（約35クリックで1件）</t>
        </is>
      </c>
      <c r="X7" s="5" t="inlineStr">
        <is>
          <t>済</t>
        </is>
      </c>
      <c r="Y7" s="5" t="inlineStr">
        <is>
          <t>A8.net 即時提携プログラム一覧PDF (2026-09-03/09-05時点)</t>
        </is>
      </c>
      <c r="Z7" s="5" t="inlineStr">
        <is>
          <t>2026-09-05</t>
        </is>
      </c>
    </row>
    <row r="8">
      <c r="A8" s="5" t="n">
        <v>7</v>
      </c>
      <c r="B8" s="5" t="inlineStr">
        <is>
          <t>MyVision（コンサル特化）</t>
        </is>
      </c>
      <c r="C8" s="5" t="inlineStr">
        <is>
          <t>株式会社MyVision</t>
        </is>
      </c>
      <c r="D8" s="5" t="inlineStr">
        <is>
          <t>ハイクラス</t>
        </is>
      </c>
      <c r="E8" s="5" t="inlineStr">
        <is>
          <t>24〜30歳</t>
        </is>
      </c>
      <c r="F8" s="6" t="n">
        <v>18000</v>
      </c>
      <c r="G8" s="5" t="inlineStr"/>
      <c r="H8" s="5" t="inlineStr">
        <is>
          <t>新規面談</t>
        </is>
      </c>
      <c r="I8" s="7" t="n">
        <v>0.2467</v>
      </c>
      <c r="J8" s="6" t="n">
        <v>302</v>
      </c>
      <c r="K8" s="8">
        <f>IF(OR(F8="",I8=""),"",F8*I8)</f>
        <v/>
      </c>
      <c r="L8" s="5" t="inlineStr"/>
      <c r="M8" s="5" t="inlineStr"/>
      <c r="N8" s="5" t="inlineStr">
        <is>
          <t>WEB申込後30日以内の無料面談実施完了／対象24〜30歳</t>
        </is>
      </c>
      <c r="O8" s="5" t="inlineStr">
        <is>
          <t>虚偽・重複・申込不備・キャンセル／1世帯2回以上／面談内容不十分／利用意思なし</t>
        </is>
      </c>
      <c r="P8" s="5" t="inlineStr">
        <is>
          <t>NG</t>
        </is>
      </c>
      <c r="Q8" s="5" t="inlineStr">
        <is>
          <t>NG</t>
        </is>
      </c>
      <c r="R8" s="5" t="inlineStr">
        <is>
          <t>未確認</t>
        </is>
      </c>
      <c r="S8" s="5" t="inlineStr">
        <is>
          <t>未確認</t>
        </is>
      </c>
      <c r="T8" s="5" t="inlineStr">
        <is>
          <t>あり</t>
        </is>
      </c>
      <c r="U8" s="5" t="inlineStr">
        <is>
          <t>不明</t>
        </is>
      </c>
      <c r="V8" s="5" t="inlineStr">
        <is>
          <t>低</t>
        </is>
      </c>
      <c r="W8" s="5" t="inlineStr">
        <is>
          <t>「掲載を検討する場合、広告主より掲載の可否を確認」＝事実上の事前承認制。データは3年分あり信頼できる</t>
        </is>
      </c>
      <c r="X8" s="5" t="inlineStr">
        <is>
          <t>済</t>
        </is>
      </c>
      <c r="Y8" s="5" t="inlineStr">
        <is>
          <t>A8.net 即時提携プログラム一覧PDF (2026-09-03/09-05時点)</t>
        </is>
      </c>
      <c r="Z8" s="5" t="inlineStr">
        <is>
          <t>2026-09-05</t>
        </is>
      </c>
    </row>
    <row r="9">
      <c r="A9" s="5" t="n">
        <v>8</v>
      </c>
      <c r="B9" s="5" t="inlineStr">
        <is>
          <t>GKSキャリア</t>
        </is>
      </c>
      <c r="C9" s="5" t="inlineStr">
        <is>
          <t>株式会社free_mova</t>
        </is>
      </c>
      <c r="D9" s="5" t="inlineStr">
        <is>
          <t>建設・施工管理</t>
        </is>
      </c>
      <c r="E9" s="5" t="inlineStr">
        <is>
          <t>18〜35歳前後、エリア限定（東京/千葉/埼玉/神奈川/愛知/大阪/兵庫等）</t>
        </is>
      </c>
      <c r="F9" s="6" t="n">
        <v>25000</v>
      </c>
      <c r="G9" s="5" t="inlineStr"/>
      <c r="H9" s="5" t="inlineStr">
        <is>
          <t>新規面談実施</t>
        </is>
      </c>
      <c r="I9" s="7" t="n">
        <v>0.2558</v>
      </c>
      <c r="J9" s="6" t="n">
        <v>246</v>
      </c>
      <c r="K9" s="8">
        <f>IF(OR(F9="",I9=""),"",F9*I9)</f>
        <v/>
      </c>
      <c r="L9" s="5" t="inlineStr"/>
      <c r="M9" s="5" t="inlineStr">
        <is>
          <t>約345日（他案件は約30日、要確認）</t>
        </is>
      </c>
      <c r="N9" s="5" t="inlineStr">
        <is>
          <t>WEBより申込、面談実施完了／年齢18〜35歳前後／エリア限定</t>
        </is>
      </c>
      <c r="O9" s="5" t="inlineStr">
        <is>
          <t>虚偽・悪戯・入力不備・不正応募・連絡不通／学歴による除外／外国籍の方からの申込／同業者・競合企業からの申込／リスティング違反</t>
        </is>
      </c>
      <c r="P9" s="5" t="inlineStr">
        <is>
          <t>NG</t>
        </is>
      </c>
      <c r="Q9" s="5" t="inlineStr">
        <is>
          <t>未確認</t>
        </is>
      </c>
      <c r="R9" s="5" t="inlineStr">
        <is>
          <t>未確認</t>
        </is>
      </c>
      <c r="S9" s="5" t="inlineStr">
        <is>
          <t>未確認</t>
        </is>
      </c>
      <c r="T9" s="5" t="inlineStr">
        <is>
          <t>不明</t>
        </is>
      </c>
      <c r="U9" s="5" t="inlineStr">
        <is>
          <t>不明</t>
        </is>
      </c>
      <c r="V9" s="5" t="inlineStr">
        <is>
          <t>低</t>
        </is>
      </c>
      <c r="W9" s="5" t="inlineStr">
        <is>
          <t>母集団が四方から削られている</t>
        </is>
      </c>
      <c r="X9" s="5" t="inlineStr">
        <is>
          <t>済</t>
        </is>
      </c>
      <c r="Y9" s="5" t="inlineStr">
        <is>
          <t>A8.net 即時提携プログラム一覧PDF (2026-09-03/09-05時点)</t>
        </is>
      </c>
      <c r="Z9" s="5" t="inlineStr">
        <is>
          <t>2026-09-05</t>
        </is>
      </c>
    </row>
    <row r="10">
      <c r="A10" s="5" t="n">
        <v>9</v>
      </c>
      <c r="B10" s="5" t="inlineStr">
        <is>
          <t>明光キャリアパートナーズ エンジニア転職</t>
        </is>
      </c>
      <c r="C10" s="5" t="inlineStr">
        <is>
          <t>株式会社明光キャリアパートナーズ</t>
        </is>
      </c>
      <c r="D10" s="5" t="inlineStr">
        <is>
          <t>IT(ハイクラス)</t>
        </is>
      </c>
      <c r="E10" s="5" t="inlineStr">
        <is>
          <t>エンジニア経験者</t>
        </is>
      </c>
      <c r="F10" s="6" t="n">
        <v>78000</v>
      </c>
      <c r="G10" s="5" t="inlineStr">
        <is>
          <t>全案件中の最高単価</t>
        </is>
      </c>
      <c r="H10" s="5" t="inlineStr">
        <is>
          <t>面談設定完了</t>
        </is>
      </c>
      <c r="I10" s="7" t="n">
        <v>0.1196</v>
      </c>
      <c r="J10" s="6" t="n">
        <v>141</v>
      </c>
      <c r="K10" s="8">
        <f>IF(OR(F10="",I10=""),"",F10*I10)</f>
        <v/>
      </c>
      <c r="L10" s="5" t="inlineStr"/>
      <c r="M10" s="5" t="inlineStr"/>
      <c r="N10" s="5" t="inlineStr">
        <is>
          <t>WEB申込後30日以内の面談設定完了／エンジニア経験者</t>
        </is>
      </c>
      <c r="O10" s="5" t="inlineStr">
        <is>
          <t>東京・大阪エリア以外の就職希望者／辞退・連絡不通・日程キャンセル／虚偽・重複・入力不備・本人登録・不正応募／広告主指定ページ以外からの登録／1世帯2回以上</t>
        </is>
      </c>
      <c r="P10" s="5" t="inlineStr">
        <is>
          <t>NG</t>
        </is>
      </c>
      <c r="Q10" s="5" t="inlineStr">
        <is>
          <t>NG</t>
        </is>
      </c>
      <c r="R10" s="5" t="inlineStr">
        <is>
          <t>未確認</t>
        </is>
      </c>
      <c r="S10" s="5" t="inlineStr">
        <is>
          <t>未確認</t>
        </is>
      </c>
      <c r="T10" s="5" t="inlineStr">
        <is>
          <t>あり</t>
        </is>
      </c>
      <c r="U10" s="5" t="inlineStr">
        <is>
          <t>不明</t>
        </is>
      </c>
      <c r="V10" s="5" t="inlineStr">
        <is>
          <t>低</t>
        </is>
      </c>
      <c r="W10" s="5" t="inlineStr">
        <is>
          <t>単価の高さは「誰も取れていない」ことの裏返し
【追記】写真でプログラムIDを再確認。既存の承認/否認条件と整合</t>
        </is>
      </c>
      <c r="X10" s="5" t="inlineStr">
        <is>
          <t>済</t>
        </is>
      </c>
      <c r="Y10" s="5" t="inlineStr">
        <is>
          <t>A8.net 即時提携プログラム一覧PDF (2026-09-03/09-05時点)</t>
        </is>
      </c>
      <c r="Z10" s="5" t="inlineStr">
        <is>
          <t>2026-09-05</t>
        </is>
      </c>
      <c r="AA10" t="inlineStr">
        <is>
          <t>s00000026573001</t>
        </is>
      </c>
    </row>
    <row r="11">
      <c r="A11" s="5" t="n">
        <v>10</v>
      </c>
      <c r="B11" s="5" t="inlineStr">
        <is>
          <t>ホワイトアカデミー</t>
        </is>
      </c>
      <c r="C11" s="5" t="inlineStr">
        <is>
          <t>Avalon Consulting株式会社</t>
        </is>
      </c>
      <c r="D11" s="5" t="inlineStr">
        <is>
          <t>未経験・一般</t>
        </is>
      </c>
      <c r="E11" s="5" t="inlineStr">
        <is>
          <t>20代の社会人</t>
        </is>
      </c>
      <c r="F11" s="6" t="n">
        <v>11000</v>
      </c>
      <c r="G11" s="5" t="inlineStr"/>
      <c r="H11" s="5" t="inlineStr">
        <is>
          <t>無料相談参加完了</t>
        </is>
      </c>
      <c r="I11" s="7" t="n"/>
      <c r="J11" s="6" t="n">
        <v>140</v>
      </c>
      <c r="K11" s="8">
        <f>IF(OR(F11="",I11=""),"",F11*I11)</f>
        <v/>
      </c>
      <c r="L11" s="5" t="inlineStr"/>
      <c r="M11" s="5" t="inlineStr"/>
      <c r="N11" s="5" t="inlineStr">
        <is>
          <t>WEB申込後30日以内の無料相談会参加完了／申込者が20代の社会人であること</t>
        </is>
      </c>
      <c r="O11" s="5" t="inlineStr">
        <is>
          <t>重複・空申込・虚偽申込／1世帯2回以上／海外在住の方／無料相談会で途中退席された方</t>
        </is>
      </c>
      <c r="P11" s="5" t="inlineStr">
        <is>
          <t>不明</t>
        </is>
      </c>
      <c r="Q11" s="5" t="inlineStr">
        <is>
          <t>不明</t>
        </is>
      </c>
      <c r="R11" s="5" t="inlineStr">
        <is>
          <t>未確認</t>
        </is>
      </c>
      <c r="S11" s="5" t="inlineStr">
        <is>
          <t>未確認</t>
        </is>
      </c>
      <c r="T11" s="5" t="inlineStr">
        <is>
          <t>不明</t>
        </is>
      </c>
      <c r="U11" s="5" t="inlineStr">
        <is>
          <t>飛び先以外の画像の無断使用NG</t>
        </is>
      </c>
      <c r="V11" s="5" t="inlineStr">
        <is>
          <t>低</t>
        </is>
      </c>
      <c r="W11" s="5" t="inlineStr">
        <is>
          <t>転職エージェントではなく実態は「有料の転職塾」の説明会送客。単価もEPCも低い</t>
        </is>
      </c>
      <c r="X11" s="5" t="inlineStr">
        <is>
          <t>済</t>
        </is>
      </c>
      <c r="Y11" s="5" t="inlineStr">
        <is>
          <t>A8.net 即時提携プログラム一覧PDF (2026-09-03/09-05時点)</t>
        </is>
      </c>
      <c r="Z11" s="5" t="inlineStr">
        <is>
          <t>2026-09-05</t>
        </is>
      </c>
    </row>
    <row r="12">
      <c r="A12" s="5" t="n">
        <v>11</v>
      </c>
      <c r="B12" s="5" t="inlineStr">
        <is>
          <t>ユメキャリ転職エージェント</t>
        </is>
      </c>
      <c r="C12" s="5" t="inlineStr">
        <is>
          <t>ReveCareerAgency株式会社</t>
        </is>
      </c>
      <c r="D12" s="5" t="inlineStr">
        <is>
          <t>未経験・一般</t>
        </is>
      </c>
      <c r="E12" s="5" t="inlineStr">
        <is>
          <t>関西・中部中心</t>
        </is>
      </c>
      <c r="F12" s="6" t="n">
        <v>13000</v>
      </c>
      <c r="G12" s="5" t="inlineStr"/>
      <c r="H12" s="5" t="inlineStr">
        <is>
          <t>新規キャリアカウンセリング</t>
        </is>
      </c>
      <c r="I12" s="7" t="n">
        <v>0.4496</v>
      </c>
      <c r="J12" s="6" t="n">
        <v>33</v>
      </c>
      <c r="K12" s="8">
        <f>IF(OR(F12="",I12=""),"",F12*I12)</f>
        <v/>
      </c>
      <c r="L12" s="5" t="inlineStr"/>
      <c r="M12" s="5" t="inlineStr"/>
      <c r="N12" s="5" t="inlineStr">
        <is>
          <t>WEB応募後30日以内のキャリアカウンセリング完了</t>
        </is>
      </c>
      <c r="O12" s="5" t="inlineStr">
        <is>
          <t>キャンセル・空申請・入力不備・なりすまし／1世帯2回以上／★LINE経由の申込／リスティング違反</t>
        </is>
      </c>
      <c r="P12" s="5" t="inlineStr">
        <is>
          <t>NG</t>
        </is>
      </c>
      <c r="Q12" s="5" t="inlineStr">
        <is>
          <t>不明</t>
        </is>
      </c>
      <c r="R12" s="5" t="inlineStr">
        <is>
          <t>未確認</t>
        </is>
      </c>
      <c r="S12" s="5" t="inlineStr">
        <is>
          <t>NG</t>
        </is>
      </c>
      <c r="T12" s="5" t="inlineStr">
        <is>
          <t>不明</t>
        </is>
      </c>
      <c r="U12" s="5" t="inlineStr">
        <is>
          <t>不明</t>
        </is>
      </c>
      <c r="V12" s="5" t="inlineStr">
        <is>
          <t>最下位</t>
        </is>
      </c>
      <c r="W12" s="5" t="inlineStr">
        <is>
          <t>16件で唯一LINE経由の申込を明示的に禁止。確定率は良いが到達率が壊滅的（約177クリックで1件）</t>
        </is>
      </c>
      <c r="X12" s="5" t="inlineStr">
        <is>
          <t>済</t>
        </is>
      </c>
      <c r="Y12" s="5" t="inlineStr">
        <is>
          <t>A8.net 即時提携プログラム一覧PDF (2026-09-03/09-05時点)</t>
        </is>
      </c>
      <c r="Z12" s="5" t="inlineStr">
        <is>
          <t>2026-09-05</t>
        </is>
      </c>
    </row>
    <row r="13">
      <c r="A13" s="5" t="n">
        <v>12</v>
      </c>
      <c r="B13" s="5" t="inlineStr">
        <is>
          <t>工場求人ワールド</t>
        </is>
      </c>
      <c r="C13" s="5" t="inlineStr">
        <is>
          <t>株式会社ワールドインテック</t>
        </is>
      </c>
      <c r="D13" s="5" t="inlineStr">
        <is>
          <t>未経験・一般</t>
        </is>
      </c>
      <c r="E13" s="5" t="inlineStr">
        <is>
          <t>19〜49歳</t>
        </is>
      </c>
      <c r="F13" s="6" t="n">
        <v>15000</v>
      </c>
      <c r="G13" s="5" t="inlineStr"/>
      <c r="H13" s="5" t="inlineStr">
        <is>
          <t>新規求人応募</t>
        </is>
      </c>
      <c r="I13" s="7" t="n">
        <v>0.4285</v>
      </c>
      <c r="J13" s="6" t="n">
        <v>28</v>
      </c>
      <c r="K13" s="8">
        <f>IF(OR(F13="",I13=""),"",F13*I13)</f>
        <v/>
      </c>
      <c r="L13" s="5" t="inlineStr"/>
      <c r="M13" s="5" t="inlineStr"/>
      <c r="N13" s="5" t="inlineStr">
        <is>
          <t>WEB求人応募後30日以内に電話で氏名・生年月日・電話番号の確認</t>
        </is>
      </c>
      <c r="O13" s="5" t="inlineStr">
        <is>
          <t>不正・申込不備・虚偽・いたずら・重複成果／指定URL外の求人応募／1世帯2回以上／リスティング違反</t>
        </is>
      </c>
      <c r="P13" s="5" t="inlineStr">
        <is>
          <t>NG</t>
        </is>
      </c>
      <c r="Q13" s="5" t="inlineStr">
        <is>
          <t>不明</t>
        </is>
      </c>
      <c r="R13" s="5" t="inlineStr">
        <is>
          <t>未確認</t>
        </is>
      </c>
      <c r="S13" s="5" t="inlineStr">
        <is>
          <t>未確認</t>
        </is>
      </c>
      <c r="T13" s="5" t="inlineStr">
        <is>
          <t>不明</t>
        </is>
      </c>
      <c r="U13" s="5" t="inlineStr">
        <is>
          <t>サイト内の人物画像の使用はNG</t>
        </is>
      </c>
      <c r="V13" s="5" t="inlineStr">
        <is>
          <t>低</t>
        </is>
      </c>
      <c r="W13" s="5" t="inlineStr">
        <is>
          <t>訴求しやすいが数字が出ない典型（約234クリックで1件）</t>
        </is>
      </c>
      <c r="X13" s="5" t="inlineStr">
        <is>
          <t>済</t>
        </is>
      </c>
      <c r="Y13" s="5" t="inlineStr">
        <is>
          <t>A8.net 即時提携プログラム一覧PDF (2026-09-03/09-05時点)</t>
        </is>
      </c>
      <c r="Z13" s="5" t="inlineStr">
        <is>
          <t>2026-09-05</t>
        </is>
      </c>
      <c r="AA13" t="inlineStr">
        <is>
          <t>s00000026992001（写真で確認、重複プログラムの可能性）</t>
        </is>
      </c>
    </row>
    <row r="14">
      <c r="A14" s="5" t="n">
        <v>13</v>
      </c>
      <c r="B14" s="5" t="inlineStr">
        <is>
          <t>トヨタ自動車 期間工</t>
        </is>
      </c>
      <c r="C14" s="5" t="inlineStr">
        <is>
          <t>株式会社スタッフ東海</t>
        </is>
      </c>
      <c r="D14" s="5" t="inlineStr">
        <is>
          <t>未経験・一般</t>
        </is>
      </c>
      <c r="E14" s="5" t="inlineStr">
        <is>
          <t>男性18〜45歳／女性18〜40歳、外国籍も可（日本語N2以上、ビザ・身分証明必須）</t>
        </is>
      </c>
      <c r="F14" s="6" t="n">
        <v>25000</v>
      </c>
      <c r="G14" s="5" t="inlineStr"/>
      <c r="H14" s="5" t="inlineStr">
        <is>
          <t>新規応募</t>
        </is>
      </c>
      <c r="I14" s="7" t="n"/>
      <c r="J14" s="6" t="n"/>
      <c r="K14" s="8">
        <f>IF(OR(F14="",I14=""),"",F14*I14)</f>
        <v/>
      </c>
      <c r="L14" s="5" t="inlineStr"/>
      <c r="M14" s="5" t="inlineStr"/>
      <c r="N14" s="5" t="inlineStr">
        <is>
          <t>WEB応募後、当日以内（要確認）に電話またはメールで応募内容の確認</t>
        </is>
      </c>
      <c r="O14" s="5" t="inlineStr">
        <is>
          <t>虚偽・重複・申込不備・キャンセル／1世帯2回以上／リスティング違反</t>
        </is>
      </c>
      <c r="P14" s="5" t="inlineStr">
        <is>
          <t>NG</t>
        </is>
      </c>
      <c r="Q14" s="5" t="inlineStr">
        <is>
          <t>NG</t>
        </is>
      </c>
      <c r="R14" s="5" t="inlineStr">
        <is>
          <t>未確認</t>
        </is>
      </c>
      <c r="S14" s="5" t="inlineStr">
        <is>
          <t>未確認</t>
        </is>
      </c>
      <c r="T14" s="5" t="inlineStr">
        <is>
          <t>あり</t>
        </is>
      </c>
      <c r="U14" s="5" t="inlineStr">
        <is>
          <t>不明</t>
        </is>
      </c>
      <c r="V14" s="5" t="inlineStr">
        <is>
          <t>判定不能</t>
        </is>
      </c>
      <c r="W14" s="5" t="inlineStr">
        <is>
          <t>開始から4ヶ月経過して実績なし。14/16件で最も否認条件が少ないが同ジャンルの工場求人ワールドのEPCが低いため優先度は下げる</t>
        </is>
      </c>
      <c r="X14" s="5" t="inlineStr">
        <is>
          <t>済（データ不足）</t>
        </is>
      </c>
      <c r="Y14" s="5" t="inlineStr">
        <is>
          <t>A8.net 即時提携プログラム一覧PDF (2026-09-03/09-05時点)</t>
        </is>
      </c>
      <c r="Z14" s="5" t="inlineStr">
        <is>
          <t>2026-09-05</t>
        </is>
      </c>
    </row>
    <row r="15">
      <c r="A15" s="5" t="n">
        <v>14</v>
      </c>
      <c r="B15" s="5" t="inlineStr">
        <is>
          <t>メーカーズジョブ</t>
        </is>
      </c>
      <c r="C15" s="5" t="inlineStr">
        <is>
          <t>株式会社MyVision</t>
        </is>
      </c>
      <c r="D15" s="5" t="inlineStr">
        <is>
          <t>ハイクラス</t>
        </is>
      </c>
      <c r="E15" s="5" t="inlineStr"/>
      <c r="F15" s="6" t="n">
        <v>50000</v>
      </c>
      <c r="G15" s="5" t="inlineStr">
        <is>
          <t>キャンペーン中（通常18,000円）。1〜3件:50,000円/4〜6件:75,000円/7件〜:100,000円。計測2026/08/15〜09/30、適用2026/10/08〜</t>
        </is>
      </c>
      <c r="H15" s="5" t="inlineStr">
        <is>
          <t>無料面談実施完了</t>
        </is>
      </c>
      <c r="I15" s="7" t="n"/>
      <c r="J15" s="6" t="n">
        <v>27887</v>
      </c>
      <c r="K15" s="8">
        <f>IF(OR(F15="",I15=""),"",F15*I15)</f>
        <v/>
      </c>
      <c r="L15" s="5" t="inlineStr"/>
      <c r="M15" s="5" t="inlineStr"/>
      <c r="N15" s="5" t="inlineStr">
        <is>
          <t>WEB申込後30日以内の無料面談実施完了</t>
        </is>
      </c>
      <c r="O15" s="5" t="inlineStr">
        <is>
          <t>虚偽・重複・申込不備・キャンセル／1世帯2回以上／学生からの申込／面談内容が不十分と判断された場合</t>
        </is>
      </c>
      <c r="P15" s="5" t="inlineStr">
        <is>
          <t>NG</t>
        </is>
      </c>
      <c r="Q15" s="5" t="inlineStr">
        <is>
          <t>不明</t>
        </is>
      </c>
      <c r="R15" s="5" t="inlineStr">
        <is>
          <t>未確認</t>
        </is>
      </c>
      <c r="S15" s="5" t="inlineStr">
        <is>
          <t>未確認</t>
        </is>
      </c>
      <c r="T15" s="5" t="inlineStr">
        <is>
          <t>不明</t>
        </is>
      </c>
      <c r="U15" s="5" t="inlineStr">
        <is>
          <t>不明</t>
        </is>
      </c>
      <c r="V15" s="5" t="inlineStr">
        <is>
          <t>判定不能</t>
        </is>
      </c>
      <c r="W15" s="5" t="inlineStr">
        <is>
          <t>EPC表示は分母が極小のノイズ。確定率不明で判定不能。適用日の記載に9/8と10/8の矛盾あり要確認</t>
        </is>
      </c>
      <c r="X15" s="5" t="inlineStr">
        <is>
          <t>済（データ不足）</t>
        </is>
      </c>
      <c r="Y15" s="5" t="inlineStr">
        <is>
          <t>A8.net 即時提携プログラム一覧PDF (2026-09-03/09-05時点)</t>
        </is>
      </c>
      <c r="Z15" s="5" t="inlineStr">
        <is>
          <t>2026-09-05</t>
        </is>
      </c>
    </row>
    <row r="16">
      <c r="A16" s="5" t="n">
        <v>15</v>
      </c>
      <c r="B16" s="5" t="inlineStr">
        <is>
          <t>NewMA</t>
        </is>
      </c>
      <c r="C16" s="5" t="inlineStr">
        <is>
          <t>NewMA株式会社</t>
        </is>
      </c>
      <c r="D16" s="5" t="inlineStr">
        <is>
          <t>ハイクラス(M&amp;A)</t>
        </is>
      </c>
      <c r="E16" s="5" t="inlineStr">
        <is>
          <t>24〜34歳</t>
        </is>
      </c>
      <c r="F16" s="6" t="n">
        <v>34616</v>
      </c>
      <c r="G16" s="5" t="inlineStr"/>
      <c r="H16" s="5" t="inlineStr">
        <is>
          <t>新規無料相談申込完了</t>
        </is>
      </c>
      <c r="I16" s="7" t="n"/>
      <c r="J16" s="6" t="n"/>
      <c r="K16" s="8">
        <f>IF(OR(F16="",I16=""),"",F16*I16)</f>
        <v/>
      </c>
      <c r="L16" s="5" t="inlineStr"/>
      <c r="M16" s="5" t="inlineStr"/>
      <c r="N16" s="5" t="inlineStr">
        <is>
          <t>WEB申込後30日以内に電話＋メールで氏名・年齢・都道府県の確認完了／対象24〜34歳</t>
        </is>
      </c>
      <c r="O16" s="5" t="inlineStr">
        <is>
          <t>不正申込・不備・虚偽・いたずら・重複成果／1世帯2回以上／リスティング違反</t>
        </is>
      </c>
      <c r="P16" s="5" t="inlineStr">
        <is>
          <t>NG</t>
        </is>
      </c>
      <c r="Q16" s="5" t="inlineStr">
        <is>
          <t>不明</t>
        </is>
      </c>
      <c r="R16" s="5" t="inlineStr">
        <is>
          <t>未確認（広告主が記事媒体・業界特化型メディアとの連携を希望）</t>
        </is>
      </c>
      <c r="S16" s="5" t="inlineStr">
        <is>
          <t>未確認</t>
        </is>
      </c>
      <c r="T16" s="5" t="inlineStr">
        <is>
          <t>不明</t>
        </is>
      </c>
      <c r="U16" s="5" t="inlineStr">
        <is>
          <t>不明</t>
        </is>
      </c>
      <c r="V16" s="5" t="inlineStr">
        <is>
          <t>判定不能</t>
        </is>
      </c>
      <c r="W16" s="5" t="inlineStr">
        <is>
          <t>開始直後(2026/08/31〜)で実績データなし。SNS単体アカウントは想定外の可能性
【追記】写真でプログラムIDと条件を再確認。既存の分析内容と整合</t>
        </is>
      </c>
      <c r="X16" s="5" t="inlineStr">
        <is>
          <t>済</t>
        </is>
      </c>
      <c r="Y16" s="5" t="inlineStr">
        <is>
          <t>A8.net 即時提携プログラム一覧PDF (2026-09-03/09-05時点)</t>
        </is>
      </c>
      <c r="Z16" s="5" t="inlineStr">
        <is>
          <t>2026-09-05</t>
        </is>
      </c>
      <c r="AA16" t="inlineStr">
        <is>
          <t>s00000027779001</t>
        </is>
      </c>
    </row>
    <row r="17">
      <c r="A17" s="5" t="n">
        <v>16</v>
      </c>
      <c r="B17" s="5" t="inlineStr">
        <is>
          <t>マイナビクリエイター</t>
        </is>
      </c>
      <c r="C17" s="5" t="inlineStr">
        <is>
          <t>株式会社マイナビ</t>
        </is>
      </c>
      <c r="D17" s="5" t="inlineStr">
        <is>
          <t>ハイクラス(クリエイター)</t>
        </is>
      </c>
      <c r="E17" s="5" t="inlineStr"/>
      <c r="F17" s="6" t="n">
        <v>21148</v>
      </c>
      <c r="G17" s="5" t="inlineStr"/>
      <c r="H17" s="5" t="inlineStr">
        <is>
          <t>登録会参加＋個別カウンセリング実施</t>
        </is>
      </c>
      <c r="I17" s="7" t="n">
        <v>0</v>
      </c>
      <c r="J17" s="6" t="n">
        <v>0</v>
      </c>
      <c r="K17" s="8">
        <f>IF(OR(F17="",I17=""),"",F17*I17)</f>
        <v/>
      </c>
      <c r="L17" s="5" t="inlineStr"/>
      <c r="M17" s="5" t="inlineStr"/>
      <c r="N17" s="5" t="inlineStr">
        <is>
          <t>WEB申込後、翌月1日までに登録会参加＋個別カウンセリング実施完了</t>
        </is>
      </c>
      <c r="O17" s="5" t="inlineStr">
        <is>
          <t>セミナー申込・お問い合わせ経由の登録／記載不備・キャンセル・虚偽・無効・イタズラ</t>
        </is>
      </c>
      <c r="P17" s="5" t="inlineStr">
        <is>
          <t>不明</t>
        </is>
      </c>
      <c r="Q17" s="5" t="inlineStr">
        <is>
          <t>不明</t>
        </is>
      </c>
      <c r="R17" s="5" t="inlineStr">
        <is>
          <t>未確認</t>
        </is>
      </c>
      <c r="S17" s="5" t="inlineStr">
        <is>
          <t>未確認</t>
        </is>
      </c>
      <c r="T17" s="5" t="inlineStr">
        <is>
          <t>不明</t>
        </is>
      </c>
      <c r="U17" s="5" t="inlineStr">
        <is>
          <t>不明</t>
        </is>
      </c>
      <c r="V17" s="5" t="inlineStr">
        <is>
          <t>見送り推奨</t>
        </is>
      </c>
      <c r="W17" s="5" t="inlineStr">
        <is>
          <t>開始から5ヶ月経過して実績ゼロ。成果地点も最も深い</t>
        </is>
      </c>
      <c r="X17" s="5" t="inlineStr">
        <is>
          <t>済（実績ゼロ）</t>
        </is>
      </c>
      <c r="Y17" s="5" t="inlineStr">
        <is>
          <t>A8.net 即時提携プログラム一覧PDF (2026-09-03/09-05時点)</t>
        </is>
      </c>
      <c r="Z17" s="5" t="inlineStr">
        <is>
          <t>2026-09-05</t>
        </is>
      </c>
    </row>
    <row r="18">
      <c r="A18" s="5" t="n">
        <v>17</v>
      </c>
      <c r="B18" s="5" t="inlineStr">
        <is>
          <t>techadapt</t>
        </is>
      </c>
      <c r="C18" s="5" t="inlineStr">
        <is>
          <t>未確認</t>
        </is>
      </c>
      <c r="D18" s="5" t="inlineStr">
        <is>
          <t>IT</t>
        </is>
      </c>
      <c r="E18" s="5" t="inlineStr">
        <is>
          <t>ITフリーランス・SE・プログラマ</t>
        </is>
      </c>
      <c r="F18" s="6" t="n">
        <v>70000</v>
      </c>
      <c r="G18" s="5" t="inlineStr"/>
      <c r="H18" s="5" t="inlineStr">
        <is>
          <t>面談</t>
        </is>
      </c>
      <c r="I18" s="7" t="n"/>
      <c r="J18" s="6" t="n"/>
      <c r="K18" s="8">
        <f>IF(OR(F18="",I18=""),"",F18*I18)</f>
        <v/>
      </c>
      <c r="L18" s="5" t="inlineStr"/>
      <c r="M18" s="5" t="inlineStr"/>
      <c r="N18" s="5" t="inlineStr">
        <is>
          <t>未確認</t>
        </is>
      </c>
      <c r="O18" s="5" t="inlineStr">
        <is>
          <t>未確認</t>
        </is>
      </c>
      <c r="P18" s="5" t="inlineStr">
        <is>
          <t>未確認</t>
        </is>
      </c>
      <c r="Q18" s="5" t="inlineStr">
        <is>
          <t>未確認</t>
        </is>
      </c>
      <c r="R18" s="5" t="inlineStr">
        <is>
          <t>未確認</t>
        </is>
      </c>
      <c r="S18" s="5" t="inlineStr">
        <is>
          <t>未確認</t>
        </is>
      </c>
      <c r="T18" s="5" t="inlineStr">
        <is>
          <t>未確認</t>
        </is>
      </c>
      <c r="U18" s="5" t="inlineStr">
        <is>
          <t>未確認</t>
        </is>
      </c>
      <c r="V18" s="5" t="inlineStr">
        <is>
          <t>要詳細分析</t>
        </is>
      </c>
      <c r="W18" s="5" t="inlineStr"/>
      <c r="X18" s="5" t="inlineStr">
        <is>
          <t>未分析</t>
        </is>
      </c>
      <c r="Y18" s="5" t="inlineStr">
        <is>
          <t>A8.net 即時提携プログラム一覧PDF (2026-09-03/09-05時点)</t>
        </is>
      </c>
      <c r="Z18" s="5" t="inlineStr">
        <is>
          <t>2026-09-05</t>
        </is>
      </c>
    </row>
    <row r="19">
      <c r="A19" s="5" t="n">
        <v>18</v>
      </c>
      <c r="B19" s="5" t="inlineStr">
        <is>
          <t>ファルマスタッフ</t>
        </is>
      </c>
      <c r="C19" s="5" t="inlineStr">
        <is>
          <t>未確認</t>
        </is>
      </c>
      <c r="D19" s="5" t="inlineStr">
        <is>
          <t>医療(薬剤師)</t>
        </is>
      </c>
      <c r="E19" s="5" t="inlineStr">
        <is>
          <t>薬剤師</t>
        </is>
      </c>
      <c r="F19" s="6" t="n"/>
      <c r="G19" s="5" t="inlineStr">
        <is>
          <t>23,000〜65,000円のレンジ（単一値未確定のため未入力）</t>
        </is>
      </c>
      <c r="H19" s="5" t="inlineStr">
        <is>
          <t>会員登録</t>
        </is>
      </c>
      <c r="I19" s="7" t="n">
        <v>0.5037</v>
      </c>
      <c r="J19" s="6" t="n"/>
      <c r="K19" s="8">
        <f>IF(OR(F19="",I19=""),"",F19*I19)</f>
        <v/>
      </c>
      <c r="L19" s="5" t="inlineStr"/>
      <c r="M19" s="5" t="inlineStr"/>
      <c r="N19" s="5" t="inlineStr">
        <is>
          <t>未確認</t>
        </is>
      </c>
      <c r="O19" s="5" t="inlineStr">
        <is>
          <t>未確認</t>
        </is>
      </c>
      <c r="P19" s="5" t="inlineStr">
        <is>
          <t>未確認</t>
        </is>
      </c>
      <c r="Q19" s="5" t="inlineStr">
        <is>
          <t>未確認</t>
        </is>
      </c>
      <c r="R19" s="5" t="inlineStr">
        <is>
          <t>未確認</t>
        </is>
      </c>
      <c r="S19" s="5" t="inlineStr">
        <is>
          <t>未確認</t>
        </is>
      </c>
      <c r="T19" s="5" t="inlineStr">
        <is>
          <t>未確認</t>
        </is>
      </c>
      <c r="U19" s="5" t="inlineStr">
        <is>
          <t>未確認</t>
        </is>
      </c>
      <c r="V19" s="5" t="inlineStr">
        <is>
          <t>要詳細分析</t>
        </is>
      </c>
      <c r="W19" s="5" t="inlineStr"/>
      <c r="X19" s="5" t="inlineStr">
        <is>
          <t>未分析</t>
        </is>
      </c>
      <c r="Y19" s="5" t="inlineStr">
        <is>
          <t>A8.net 即時提携プログラム一覧PDF (2026-09-03/09-05時点)</t>
        </is>
      </c>
      <c r="Z19" s="5" t="inlineStr">
        <is>
          <t>2026-09-05</t>
        </is>
      </c>
    </row>
    <row r="20">
      <c r="A20" s="5" t="n">
        <v>19</v>
      </c>
      <c r="B20" s="5" t="inlineStr">
        <is>
          <t>お仕事ラボ</t>
        </is>
      </c>
      <c r="C20" s="5" t="inlineStr">
        <is>
          <t>未確認</t>
        </is>
      </c>
      <c r="D20" s="5" t="inlineStr">
        <is>
          <t>医療(薬剤師)</t>
        </is>
      </c>
      <c r="E20" s="5" t="inlineStr">
        <is>
          <t>薬剤師</t>
        </is>
      </c>
      <c r="F20" s="6" t="n">
        <v>43750</v>
      </c>
      <c r="G20" s="5" t="inlineStr"/>
      <c r="H20" s="5" t="inlineStr">
        <is>
          <t>面談</t>
        </is>
      </c>
      <c r="I20" s="7" t="n">
        <v>0.1428</v>
      </c>
      <c r="J20" s="6" t="n"/>
      <c r="K20" s="8">
        <f>IF(OR(F20="",I20=""),"",F20*I20)</f>
        <v/>
      </c>
      <c r="L20" s="5" t="inlineStr"/>
      <c r="M20" s="5" t="inlineStr"/>
      <c r="N20" s="5" t="inlineStr">
        <is>
          <t>未確認</t>
        </is>
      </c>
      <c r="O20" s="5" t="inlineStr">
        <is>
          <t>未確認</t>
        </is>
      </c>
      <c r="P20" s="5" t="inlineStr">
        <is>
          <t>未確認</t>
        </is>
      </c>
      <c r="Q20" s="5" t="inlineStr">
        <is>
          <t>未確認</t>
        </is>
      </c>
      <c r="R20" s="5" t="inlineStr">
        <is>
          <t>未確認</t>
        </is>
      </c>
      <c r="S20" s="5" t="inlineStr">
        <is>
          <t>未確認</t>
        </is>
      </c>
      <c r="T20" s="5" t="inlineStr">
        <is>
          <t>未確認</t>
        </is>
      </c>
      <c r="U20" s="5" t="inlineStr">
        <is>
          <t>未確認</t>
        </is>
      </c>
      <c r="V20" s="5" t="inlineStr">
        <is>
          <t>要詳細分析</t>
        </is>
      </c>
      <c r="W20" s="5" t="inlineStr"/>
      <c r="X20" s="5" t="inlineStr">
        <is>
          <t>未分析</t>
        </is>
      </c>
      <c r="Y20" s="5" t="inlineStr">
        <is>
          <t>A8.net 即時提携プログラム一覧PDF (2026-09-03/09-05時点)</t>
        </is>
      </c>
      <c r="Z20" s="5" t="inlineStr">
        <is>
          <t>2026-09-05</t>
        </is>
      </c>
    </row>
    <row r="21">
      <c r="A21" s="5" t="n">
        <v>20</v>
      </c>
      <c r="B21" s="5" t="inlineStr">
        <is>
          <t>TechGo</t>
        </is>
      </c>
      <c r="C21" s="5" t="inlineStr">
        <is>
          <t>未確認</t>
        </is>
      </c>
      <c r="D21" s="5" t="inlineStr">
        <is>
          <t>IT(ハイクラス)</t>
        </is>
      </c>
      <c r="E21" s="5" t="inlineStr">
        <is>
          <t>ITエンジニア・ハイクラス</t>
        </is>
      </c>
      <c r="F21" s="6" t="n">
        <v>18000</v>
      </c>
      <c r="G21" s="5" t="inlineStr"/>
      <c r="H21" s="5" t="inlineStr">
        <is>
          <t>無料面談</t>
        </is>
      </c>
      <c r="I21" s="7" t="n">
        <v>0.3057</v>
      </c>
      <c r="J21" s="6" t="n"/>
      <c r="K21" s="8">
        <f>IF(OR(F21="",I21=""),"",F21*I21)</f>
        <v/>
      </c>
      <c r="L21" s="5" t="inlineStr"/>
      <c r="M21" s="5" t="inlineStr"/>
      <c r="N21" s="5" t="inlineStr">
        <is>
          <t>未確認</t>
        </is>
      </c>
      <c r="O21" s="5" t="inlineStr">
        <is>
          <t>未確認</t>
        </is>
      </c>
      <c r="P21" s="5" t="inlineStr">
        <is>
          <t>未確認</t>
        </is>
      </c>
      <c r="Q21" s="5" t="inlineStr">
        <is>
          <t>未確認</t>
        </is>
      </c>
      <c r="R21" s="5" t="inlineStr">
        <is>
          <t>未確認</t>
        </is>
      </c>
      <c r="S21" s="5" t="inlineStr">
        <is>
          <t>未確認</t>
        </is>
      </c>
      <c r="T21" s="5" t="inlineStr">
        <is>
          <t>未確認</t>
        </is>
      </c>
      <c r="U21" s="5" t="inlineStr">
        <is>
          <t>未確認</t>
        </is>
      </c>
      <c r="V21" s="5" t="inlineStr">
        <is>
          <t>要詳細分析</t>
        </is>
      </c>
      <c r="W21" s="5" t="inlineStr">
        <is>
          <t>【追記】写真で承認/否認条件を確認：広告主はMyVision。承認＝WEB申込後30日以内の無料面談実施完了／否認＝1世帯2回以上・虚偽・重複・キャンセル・海外在住／リスティング違反</t>
        </is>
      </c>
      <c r="X21" s="5" t="inlineStr">
        <is>
          <t>済</t>
        </is>
      </c>
      <c r="Y21" s="5" t="inlineStr">
        <is>
          <t>A8.net 即時提携プログラム一覧PDF (2026-09-03/09-05時点)</t>
        </is>
      </c>
      <c r="Z21" s="5" t="inlineStr">
        <is>
          <t>2026-09-05</t>
        </is>
      </c>
      <c r="AA21" t="inlineStr">
        <is>
          <t>s00000024757003</t>
        </is>
      </c>
    </row>
    <row r="22">
      <c r="A22" s="5" t="n">
        <v>21</v>
      </c>
      <c r="B22" s="5" t="inlineStr">
        <is>
          <t>ファゲット</t>
        </is>
      </c>
      <c r="C22" s="5" t="inlineStr">
        <is>
          <t>未確認</t>
        </is>
      </c>
      <c r="D22" s="5" t="inlineStr">
        <is>
          <t>医療(薬剤師)</t>
        </is>
      </c>
      <c r="E22" s="5" t="inlineStr">
        <is>
          <t>薬剤師</t>
        </is>
      </c>
      <c r="F22" s="6" t="n">
        <v>33000</v>
      </c>
      <c r="G22" s="5" t="inlineStr"/>
      <c r="H22" s="5" t="inlineStr">
        <is>
          <t>会員登録</t>
        </is>
      </c>
      <c r="I22" s="7" t="n">
        <v>0.0975</v>
      </c>
      <c r="J22" s="6" t="n"/>
      <c r="K22" s="8">
        <f>IF(OR(F22="",I22=""),"",F22*I22)</f>
        <v/>
      </c>
      <c r="L22" s="5" t="inlineStr"/>
      <c r="M22" s="5" t="inlineStr"/>
      <c r="N22" s="5" t="inlineStr">
        <is>
          <t>未確認</t>
        </is>
      </c>
      <c r="O22" s="5" t="inlineStr">
        <is>
          <t>未確認</t>
        </is>
      </c>
      <c r="P22" s="5" t="inlineStr">
        <is>
          <t>未確認</t>
        </is>
      </c>
      <c r="Q22" s="5" t="inlineStr">
        <is>
          <t>未確認</t>
        </is>
      </c>
      <c r="R22" s="5" t="inlineStr">
        <is>
          <t>未確認</t>
        </is>
      </c>
      <c r="S22" s="5" t="inlineStr">
        <is>
          <t>未確認</t>
        </is>
      </c>
      <c r="T22" s="5" t="inlineStr">
        <is>
          <t>未確認</t>
        </is>
      </c>
      <c r="U22" s="5" t="inlineStr">
        <is>
          <t>未確認</t>
        </is>
      </c>
      <c r="V22" s="5" t="inlineStr">
        <is>
          <t>要詳細分析</t>
        </is>
      </c>
      <c r="W22" s="5" t="inlineStr"/>
      <c r="X22" s="5" t="inlineStr">
        <is>
          <t>未分析</t>
        </is>
      </c>
      <c r="Y22" s="5" t="inlineStr">
        <is>
          <t>A8.net 即時提携プログラム一覧PDF (2026-09-03/09-05時点)</t>
        </is>
      </c>
      <c r="Z22" s="5" t="inlineStr">
        <is>
          <t>2026-09-05</t>
        </is>
      </c>
    </row>
    <row r="23">
      <c r="A23" s="5" t="n">
        <v>22</v>
      </c>
      <c r="B23" s="5" t="inlineStr">
        <is>
          <t>ヤクジョブ</t>
        </is>
      </c>
      <c r="C23" s="5" t="inlineStr">
        <is>
          <t>未確認</t>
        </is>
      </c>
      <c r="D23" s="5" t="inlineStr">
        <is>
          <t>医療(薬剤師)</t>
        </is>
      </c>
      <c r="E23" s="5" t="inlineStr">
        <is>
          <t>薬剤師</t>
        </is>
      </c>
      <c r="F23" s="6" t="n">
        <v>30075</v>
      </c>
      <c r="G23" s="5" t="inlineStr"/>
      <c r="H23" s="5" t="inlineStr">
        <is>
          <t>面談</t>
        </is>
      </c>
      <c r="I23" s="7" t="n">
        <v>0.3787</v>
      </c>
      <c r="J23" s="6" t="n"/>
      <c r="K23" s="8">
        <f>IF(OR(F23="",I23=""),"",F23*I23)</f>
        <v/>
      </c>
      <c r="L23" s="5" t="inlineStr"/>
      <c r="M23" s="5" t="inlineStr"/>
      <c r="N23" s="5" t="inlineStr">
        <is>
          <t>未確認</t>
        </is>
      </c>
      <c r="O23" s="5" t="inlineStr">
        <is>
          <t>未確認</t>
        </is>
      </c>
      <c r="P23" s="5" t="inlineStr">
        <is>
          <t>未確認</t>
        </is>
      </c>
      <c r="Q23" s="5" t="inlineStr">
        <is>
          <t>未確認</t>
        </is>
      </c>
      <c r="R23" s="5" t="inlineStr">
        <is>
          <t>未確認</t>
        </is>
      </c>
      <c r="S23" s="5" t="inlineStr">
        <is>
          <t>未確認</t>
        </is>
      </c>
      <c r="T23" s="5" t="inlineStr">
        <is>
          <t>未確認</t>
        </is>
      </c>
      <c r="U23" s="5" t="inlineStr">
        <is>
          <t>未確認</t>
        </is>
      </c>
      <c r="V23" s="5" t="inlineStr">
        <is>
          <t>要詳細分析</t>
        </is>
      </c>
      <c r="W23" s="5" t="inlineStr"/>
      <c r="X23" s="5" t="inlineStr">
        <is>
          <t>未分析</t>
        </is>
      </c>
      <c r="Y23" s="5" t="inlineStr">
        <is>
          <t>A8.net 即時提携プログラム一覧PDF (2026-09-03/09-05時点)</t>
        </is>
      </c>
      <c r="Z23" s="5" t="inlineStr">
        <is>
          <t>2026-09-05</t>
        </is>
      </c>
    </row>
    <row r="24">
      <c r="A24" s="5" t="n">
        <v>23</v>
      </c>
      <c r="B24" s="5" t="inlineStr">
        <is>
          <t>ProgrammerCollege</t>
        </is>
      </c>
      <c r="C24" s="5" t="inlineStr">
        <is>
          <t>未確認</t>
        </is>
      </c>
      <c r="D24" s="5" t="inlineStr">
        <is>
          <t>IT</t>
        </is>
      </c>
      <c r="E24" s="5" t="inlineStr">
        <is>
          <t>IT・プログラミング</t>
        </is>
      </c>
      <c r="F24" s="6" t="n">
        <v>30000</v>
      </c>
      <c r="G24" s="5" t="inlineStr"/>
      <c r="H24" s="5" t="inlineStr">
        <is>
          <t>無料体験面談</t>
        </is>
      </c>
      <c r="I24" s="7" t="n">
        <v>0.238</v>
      </c>
      <c r="J24" s="6" t="n"/>
      <c r="K24" s="8">
        <f>IF(OR(F24="",I24=""),"",F24*I24)</f>
        <v/>
      </c>
      <c r="L24" s="5" t="inlineStr"/>
      <c r="M24" s="5" t="inlineStr"/>
      <c r="N24" s="5" t="inlineStr">
        <is>
          <t>未確認</t>
        </is>
      </c>
      <c r="O24" s="5" t="inlineStr">
        <is>
          <t>未確認</t>
        </is>
      </c>
      <c r="P24" s="5" t="inlineStr">
        <is>
          <t>未確認</t>
        </is>
      </c>
      <c r="Q24" s="5" t="inlineStr">
        <is>
          <t>未確認</t>
        </is>
      </c>
      <c r="R24" s="5" t="inlineStr">
        <is>
          <t>未確認</t>
        </is>
      </c>
      <c r="S24" s="5" t="inlineStr">
        <is>
          <t>未確認</t>
        </is>
      </c>
      <c r="T24" s="5" t="inlineStr">
        <is>
          <t>未確認</t>
        </is>
      </c>
      <c r="U24" s="5" t="inlineStr">
        <is>
          <t>未確認</t>
        </is>
      </c>
      <c r="V24" s="5" t="inlineStr">
        <is>
          <t>要詳細分析</t>
        </is>
      </c>
      <c r="W24" s="5" t="inlineStr">
        <is>
          <t>【追記】写真で承認/否認条件を確認：承認＝WEB申込後15日以内の無料体験面談実施完了／否認＝キャンセル・重複・21歳未満または30歳以上の申込・既卒5年以上・入力不備／リスティング違反</t>
        </is>
      </c>
      <c r="X24" s="5" t="inlineStr">
        <is>
          <t>済</t>
        </is>
      </c>
      <c r="Y24" s="5" t="inlineStr">
        <is>
          <t>A8.net 即時提携プログラム一覧PDF (2026-09-03/09-05時点)</t>
        </is>
      </c>
      <c r="Z24" s="5" t="inlineStr">
        <is>
          <t>2026-09-05</t>
        </is>
      </c>
      <c r="AA24" t="inlineStr">
        <is>
          <t>s00000017060001</t>
        </is>
      </c>
    </row>
    <row r="25">
      <c r="A25" s="5" t="n">
        <v>24</v>
      </c>
      <c r="B25" s="5" t="inlineStr">
        <is>
          <t>UZUZ新卒</t>
        </is>
      </c>
      <c r="C25" s="5" t="inlineStr">
        <is>
          <t>未確認</t>
        </is>
      </c>
      <c r="D25" s="5" t="inlineStr">
        <is>
          <t>新卒</t>
        </is>
      </c>
      <c r="E25" s="5" t="inlineStr">
        <is>
          <t>新卒</t>
        </is>
      </c>
      <c r="F25" s="6" t="n">
        <v>22556</v>
      </c>
      <c r="G25" s="5" t="inlineStr"/>
      <c r="H25" s="5" t="inlineStr">
        <is>
          <t>無料相談</t>
        </is>
      </c>
      <c r="I25" s="7" t="n">
        <v>0.0746</v>
      </c>
      <c r="J25" s="6" t="n"/>
      <c r="K25" s="8">
        <f>IF(OR(F25="",I25=""),"",F25*I25)</f>
        <v/>
      </c>
      <c r="L25" s="5" t="inlineStr"/>
      <c r="M25" s="5" t="inlineStr"/>
      <c r="N25" s="5" t="inlineStr">
        <is>
          <t>未確認</t>
        </is>
      </c>
      <c r="O25" s="5" t="inlineStr">
        <is>
          <t>未確認</t>
        </is>
      </c>
      <c r="P25" s="5" t="inlineStr">
        <is>
          <t>未確認</t>
        </is>
      </c>
      <c r="Q25" s="5" t="inlineStr">
        <is>
          <t>未確認</t>
        </is>
      </c>
      <c r="R25" s="5" t="inlineStr">
        <is>
          <t>未確認</t>
        </is>
      </c>
      <c r="S25" s="5" t="inlineStr">
        <is>
          <t>未確認</t>
        </is>
      </c>
      <c r="T25" s="5" t="inlineStr">
        <is>
          <t>未確認</t>
        </is>
      </c>
      <c r="U25" s="5" t="inlineStr">
        <is>
          <t>未確認</t>
        </is>
      </c>
      <c r="V25" s="5" t="inlineStr">
        <is>
          <t>要詳細分析</t>
        </is>
      </c>
      <c r="W25" s="5" t="inlineStr"/>
      <c r="X25" s="5" t="inlineStr">
        <is>
          <t>未分析</t>
        </is>
      </c>
      <c r="Y25" s="5" t="inlineStr">
        <is>
          <t>A8.net 即時提携プログラム一覧PDF (2026-09-03/09-05時点)</t>
        </is>
      </c>
      <c r="Z25" s="5" t="inlineStr">
        <is>
          <t>2026-09-05</t>
        </is>
      </c>
    </row>
    <row r="26">
      <c r="A26" s="5" t="n">
        <v>25</v>
      </c>
      <c r="B26" s="5" t="inlineStr">
        <is>
          <t>就職エージェントneo</t>
        </is>
      </c>
      <c r="C26" s="5" t="inlineStr">
        <is>
          <t>未確認</t>
        </is>
      </c>
      <c r="D26" s="5" t="inlineStr">
        <is>
          <t>新卒</t>
        </is>
      </c>
      <c r="E26" s="5" t="inlineStr">
        <is>
          <t>新卒</t>
        </is>
      </c>
      <c r="F26" s="6" t="n">
        <v>22500</v>
      </c>
      <c r="G26" s="5" t="inlineStr"/>
      <c r="H26" s="5" t="inlineStr">
        <is>
          <t>面談実施</t>
        </is>
      </c>
      <c r="I26" s="7" t="n">
        <v>0.3571</v>
      </c>
      <c r="J26" s="6" t="n"/>
      <c r="K26" s="8">
        <f>IF(OR(F26="",I26=""),"",F26*I26)</f>
        <v/>
      </c>
      <c r="L26" s="5" t="inlineStr"/>
      <c r="M26" s="5" t="inlineStr"/>
      <c r="N26" s="5" t="inlineStr">
        <is>
          <t>未確認</t>
        </is>
      </c>
      <c r="O26" s="5" t="inlineStr">
        <is>
          <t>未確認</t>
        </is>
      </c>
      <c r="P26" s="5" t="inlineStr">
        <is>
          <t>未確認</t>
        </is>
      </c>
      <c r="Q26" s="5" t="inlineStr">
        <is>
          <t>未確認</t>
        </is>
      </c>
      <c r="R26" s="5" t="inlineStr">
        <is>
          <t>未確認</t>
        </is>
      </c>
      <c r="S26" s="5" t="inlineStr">
        <is>
          <t>未確認</t>
        </is>
      </c>
      <c r="T26" s="5" t="inlineStr">
        <is>
          <t>未確認</t>
        </is>
      </c>
      <c r="U26" s="5" t="inlineStr">
        <is>
          <t>未確認</t>
        </is>
      </c>
      <c r="V26" s="5" t="inlineStr">
        <is>
          <t>要詳細分析</t>
        </is>
      </c>
      <c r="W26" s="5" t="inlineStr"/>
      <c r="X26" s="5" t="inlineStr">
        <is>
          <t>未分析</t>
        </is>
      </c>
      <c r="Y26" s="5" t="inlineStr">
        <is>
          <t>A8.net 即時提携プログラム一覧PDF (2026-09-03/09-05時点)</t>
        </is>
      </c>
      <c r="Z26" s="5" t="inlineStr">
        <is>
          <t>2026-09-05</t>
        </is>
      </c>
    </row>
    <row r="27">
      <c r="A27" s="5" t="n">
        <v>26</v>
      </c>
      <c r="B27" s="5" t="inlineStr">
        <is>
          <t>ナースJJ</t>
        </is>
      </c>
      <c r="C27" s="5" t="inlineStr">
        <is>
          <t>未確認</t>
        </is>
      </c>
      <c r="D27" s="5" t="inlineStr">
        <is>
          <t>医療(看護師)</t>
        </is>
      </c>
      <c r="E27" s="5" t="inlineStr">
        <is>
          <t>看護師</t>
        </is>
      </c>
      <c r="F27" s="6" t="n">
        <v>20000</v>
      </c>
      <c r="G27" s="5" t="inlineStr"/>
      <c r="H27" s="5" t="inlineStr">
        <is>
          <t>会員登録</t>
        </is>
      </c>
      <c r="I27" s="7" t="n">
        <v>0.037</v>
      </c>
      <c r="J27" s="6" t="n"/>
      <c r="K27" s="8">
        <f>IF(OR(F27="",I27=""),"",F27*I27)</f>
        <v/>
      </c>
      <c r="L27" s="5" t="inlineStr"/>
      <c r="M27" s="5" t="inlineStr"/>
      <c r="N27" s="5" t="inlineStr">
        <is>
          <t>未確認</t>
        </is>
      </c>
      <c r="O27" s="5" t="inlineStr">
        <is>
          <t>未確認</t>
        </is>
      </c>
      <c r="P27" s="5" t="inlineStr">
        <is>
          <t>未確認</t>
        </is>
      </c>
      <c r="Q27" s="5" t="inlineStr">
        <is>
          <t>未確認</t>
        </is>
      </c>
      <c r="R27" s="5" t="inlineStr">
        <is>
          <t>未確認</t>
        </is>
      </c>
      <c r="S27" s="5" t="inlineStr">
        <is>
          <t>未確認</t>
        </is>
      </c>
      <c r="T27" s="5" t="inlineStr">
        <is>
          <t>未確認</t>
        </is>
      </c>
      <c r="U27" s="5" t="inlineStr">
        <is>
          <t>未確認</t>
        </is>
      </c>
      <c r="V27" s="5" t="inlineStr">
        <is>
          <t>要詳細分析</t>
        </is>
      </c>
      <c r="W27" s="5" t="inlineStr"/>
      <c r="X27" s="5" t="inlineStr">
        <is>
          <t>未分析</t>
        </is>
      </c>
      <c r="Y27" s="5" t="inlineStr">
        <is>
          <t>A8.net 即時提携プログラム一覧PDF (2026-09-03/09-05時点)</t>
        </is>
      </c>
      <c r="Z27" s="5" t="inlineStr">
        <is>
          <t>2026-09-05</t>
        </is>
      </c>
    </row>
    <row r="28">
      <c r="A28" s="5" t="n">
        <v>27</v>
      </c>
      <c r="B28" s="5" t="inlineStr">
        <is>
          <t>TechClips ME</t>
        </is>
      </c>
      <c r="C28" s="5" t="inlineStr">
        <is>
          <t>未確認</t>
        </is>
      </c>
      <c r="D28" s="5" t="inlineStr">
        <is>
          <t>IT</t>
        </is>
      </c>
      <c r="E28" s="5" t="inlineStr">
        <is>
          <t>ITエンジニア</t>
        </is>
      </c>
      <c r="F28" s="6" t="n">
        <v>20000</v>
      </c>
      <c r="G28" s="5" t="inlineStr"/>
      <c r="H28" s="5" t="inlineStr">
        <is>
          <t>利用者登録</t>
        </is>
      </c>
      <c r="I28" s="7" t="n"/>
      <c r="J28" s="6" t="n"/>
      <c r="K28" s="8">
        <f>IF(OR(F28="",I28=""),"",F28*I28)</f>
        <v/>
      </c>
      <c r="L28" s="5" t="inlineStr"/>
      <c r="M28" s="5" t="inlineStr"/>
      <c r="N28" s="5" t="inlineStr">
        <is>
          <t>未確認</t>
        </is>
      </c>
      <c r="O28" s="5" t="inlineStr">
        <is>
          <t>未確認</t>
        </is>
      </c>
      <c r="P28" s="5" t="inlineStr">
        <is>
          <t>未確認</t>
        </is>
      </c>
      <c r="Q28" s="5" t="inlineStr">
        <is>
          <t>未確認</t>
        </is>
      </c>
      <c r="R28" s="5" t="inlineStr">
        <is>
          <t>未確認</t>
        </is>
      </c>
      <c r="S28" s="5" t="inlineStr">
        <is>
          <t>未確認</t>
        </is>
      </c>
      <c r="T28" s="5" t="inlineStr">
        <is>
          <t>未確認</t>
        </is>
      </c>
      <c r="U28" s="5" t="inlineStr">
        <is>
          <t>未確認</t>
        </is>
      </c>
      <c r="V28" s="5" t="inlineStr">
        <is>
          <t>要詳細分析</t>
        </is>
      </c>
      <c r="W28" s="5" t="inlineStr"/>
      <c r="X28" s="5" t="inlineStr">
        <is>
          <t>未分析</t>
        </is>
      </c>
      <c r="Y28" s="5" t="inlineStr">
        <is>
          <t>A8.net 即時提携プログラム一覧PDF (2026-09-03/09-05時点)</t>
        </is>
      </c>
      <c r="Z28" s="5" t="inlineStr">
        <is>
          <t>2026-09-05</t>
        </is>
      </c>
    </row>
    <row r="29">
      <c r="A29" s="5" t="n">
        <v>28</v>
      </c>
      <c r="B29" s="5" t="inlineStr">
        <is>
          <t>R4CAREER（東海地区特化の名古屋転職エージェント）</t>
        </is>
      </c>
      <c r="C29" s="5" t="inlineStr">
        <is>
          <t>株式会社R4CAREER</t>
        </is>
      </c>
      <c r="D29" s="5" t="inlineStr">
        <is>
          <t>地域特化(東海3県)</t>
        </is>
      </c>
      <c r="E29" s="5" t="inlineStr">
        <is>
          <t>東海3県（愛知・岐阜・三重）在住、25〜45歳</t>
        </is>
      </c>
      <c r="F29" s="6" t="n">
        <v>8000</v>
      </c>
      <c r="G29" s="5" t="inlineStr">
        <is>
          <t>新規無料転職相談参加</t>
        </is>
      </c>
      <c r="H29" s="5" t="inlineStr">
        <is>
          <t>無料転職相談参加</t>
        </is>
      </c>
      <c r="I29" s="7" t="n">
        <v>0.5714</v>
      </c>
      <c r="J29" s="6" t="n">
        <v>6.94</v>
      </c>
      <c r="K29" s="8">
        <f>IF(OR(F29="",I29=""),"",F29*I29)</f>
        <v/>
      </c>
      <c r="L29" s="5" t="inlineStr">
        <is>
          <t>90日</t>
        </is>
      </c>
      <c r="M29" s="5" t="inlineStr">
        <is>
          <t>約30日</t>
        </is>
      </c>
      <c r="N29" s="5" t="inlineStr">
        <is>
          <t>広告主新規／WEBより30日以内に無料転職相談を実施完了／東海エリア（愛知・岐阜・三重）在住／25〜45歳</t>
        </is>
      </c>
      <c r="O29" s="5" t="inlineStr">
        <is>
          <t>キャンセル・不正・なりすまし／1世帯2回以上の申込／電話がつながらない場合／人材紹介を行っている企業からの申込／リスティング違反</t>
        </is>
      </c>
      <c r="P29" s="5" t="inlineStr">
        <is>
          <t>NG</t>
        </is>
      </c>
      <c r="Q29" s="5" t="inlineStr">
        <is>
          <t>NG</t>
        </is>
      </c>
      <c r="R29" s="5" t="inlineStr">
        <is>
          <t>未確認</t>
        </is>
      </c>
      <c r="S29" s="5" t="inlineStr">
        <is>
          <t>未確認</t>
        </is>
      </c>
      <c r="T29" s="5" t="inlineStr">
        <is>
          <t>あり</t>
        </is>
      </c>
      <c r="U29" s="5" t="inlineStr">
        <is>
          <t>サイト内の人物画像の使用不可</t>
        </is>
      </c>
      <c r="V29" s="5" t="inlineStr">
        <is>
          <t>要詳細分析</t>
        </is>
      </c>
      <c r="W29" s="5" t="inlineStr">
        <is>
          <t>地域特化型（東海3県）。書類選考通過率40%以上・ISO27001取得・厚労省認可番号ありを訴求。EPC6.94円は低め</t>
        </is>
      </c>
      <c r="X29" s="5" t="inlineStr">
        <is>
          <t>済（写真から入力）</t>
        </is>
      </c>
      <c r="Y29" s="5" t="inlineStr">
        <is>
          <t>A8.netプログラム詳細画面（ユーザー提供スクリーンショット）</t>
        </is>
      </c>
      <c r="Z29" s="5" t="inlineStr">
        <is>
          <t>2026-09-05</t>
        </is>
      </c>
      <c r="AA29" s="5" t="inlineStr">
        <is>
          <t>s00000024258001</t>
        </is>
      </c>
    </row>
    <row r="30">
      <c r="A30" s="5" t="n">
        <v>29</v>
      </c>
      <c r="B30" s="5" t="inlineStr">
        <is>
          <t>ケアマネ専門の転職サイト</t>
        </is>
      </c>
      <c r="C30" s="5" t="inlineStr">
        <is>
          <t>株式会社PECORI</t>
        </is>
      </c>
      <c r="D30" s="5" t="inlineStr">
        <is>
          <t>医療・介護(ケアマネジャー)</t>
        </is>
      </c>
      <c r="E30" s="5" t="inlineStr">
        <is>
          <t>ケアマネジャー・主任ケアマネジャー有資格者、62歳まで</t>
        </is>
      </c>
      <c r="F30" s="6" t="n">
        <v>8000</v>
      </c>
      <c r="G30" s="5" t="inlineStr">
        <is>
          <t>新規電話面談</t>
        </is>
      </c>
      <c r="H30" s="5" t="inlineStr">
        <is>
          <t>電話面談実施</t>
        </is>
      </c>
      <c r="I30" s="7" t="n"/>
      <c r="J30" s="6" t="n"/>
      <c r="K30" s="8">
        <f>IF(OR(F30="",I30=""),"",F30*I30)</f>
        <v/>
      </c>
      <c r="L30" s="5" t="inlineStr">
        <is>
          <t>90日</t>
        </is>
      </c>
      <c r="M30" s="5" t="inlineStr">
        <is>
          <t>約30日</t>
        </is>
      </c>
      <c r="N30" s="5" t="inlineStr">
        <is>
          <t>広告主新規／WEBより登録後14日以内に電話面談を実施完了／ケアマネジャー・主任ケアマネジャーの有資格者／62歳まで</t>
        </is>
      </c>
      <c r="O30" s="5" t="inlineStr">
        <is>
          <t>悪戯・虚偽・不正・キャンセル・重複・入力不備／1世帯2回以上の申込／リスティング違反</t>
        </is>
      </c>
      <c r="P30" s="5" t="inlineStr">
        <is>
          <t>NG</t>
        </is>
      </c>
      <c r="Q30" s="5" t="inlineStr">
        <is>
          <t>NG</t>
        </is>
      </c>
      <c r="R30" s="5" t="inlineStr">
        <is>
          <t>未確認</t>
        </is>
      </c>
      <c r="S30" s="5" t="inlineStr">
        <is>
          <t>未確認</t>
        </is>
      </c>
      <c r="T30" s="5" t="inlineStr">
        <is>
          <t>あり</t>
        </is>
      </c>
      <c r="U30" s="5" t="inlineStr">
        <is>
          <t>未確認</t>
        </is>
      </c>
      <c r="V30" s="5" t="inlineStr">
        <is>
          <t>要詳細分析</t>
        </is>
      </c>
      <c r="W30" s="5" t="inlineStr">
        <is>
          <t>ニッチな有資格者向け（ケアマネ）。確定率・EPCとも非表示で判定材料が乏しい</t>
        </is>
      </c>
      <c r="X30" s="5" t="inlineStr">
        <is>
          <t>済（写真から入力、確定率・EPCデータなし）</t>
        </is>
      </c>
      <c r="Y30" s="5" t="inlineStr">
        <is>
          <t>A8.netプログラム詳細画面（ユーザー提供スクリーンショット）</t>
        </is>
      </c>
      <c r="Z30" s="5" t="inlineStr">
        <is>
          <t>2026-09-05</t>
        </is>
      </c>
      <c r="AA30" s="5" t="inlineStr">
        <is>
          <t>s00000024076002</t>
        </is>
      </c>
    </row>
    <row r="31">
      <c r="A31" s="5" t="n">
        <v>30</v>
      </c>
      <c r="B31" s="5" t="inlineStr">
        <is>
          <t>マイナビパートナーズ紹介（障害者向け人材紹介）</t>
        </is>
      </c>
      <c r="C31" s="5" t="inlineStr">
        <is>
          <t>株式会社マイナビパートナーズ</t>
        </is>
      </c>
      <c r="D31" s="5" t="inlineStr">
        <is>
          <t>障害者向け人材紹介</t>
        </is>
      </c>
      <c r="E31" s="5" t="inlineStr">
        <is>
          <t>障がい者手帳保有者</t>
        </is>
      </c>
      <c r="F31" s="6" t="n">
        <v>8000</v>
      </c>
      <c r="G31" s="5" t="inlineStr">
        <is>
          <t>新規無料カウンセリング</t>
        </is>
      </c>
      <c r="H31" s="5" t="inlineStr">
        <is>
          <t>無料カウンセリング実施</t>
        </is>
      </c>
      <c r="I31" s="7" t="n">
        <v>0.0934</v>
      </c>
      <c r="J31" s="6" t="n">
        <v>250</v>
      </c>
      <c r="K31" s="8">
        <f>IF(OR(F31="",I31=""),"",F31*I31)</f>
        <v/>
      </c>
      <c r="L31" s="5" t="inlineStr">
        <is>
          <t>90日</t>
        </is>
      </c>
      <c r="M31" s="5" t="inlineStr">
        <is>
          <t>約30日</t>
        </is>
      </c>
      <c r="N31" s="5" t="inlineStr">
        <is>
          <t>広告主新規／WEBより30日以内に無料カウンセリングを実施完了／障がい者手帳保有の方</t>
        </is>
      </c>
      <c r="O31" s="5" t="inlineStr">
        <is>
          <t>キャンセル・入力不備／1世帯2回以上の申込／法人としての申込の場合／リスティング違反</t>
        </is>
      </c>
      <c r="P31" s="5" t="inlineStr">
        <is>
          <t>NG</t>
        </is>
      </c>
      <c r="Q31" s="5" t="inlineStr">
        <is>
          <t>NG</t>
        </is>
      </c>
      <c r="R31" s="5" t="inlineStr">
        <is>
          <t>未確認</t>
        </is>
      </c>
      <c r="S31" s="5" t="inlineStr">
        <is>
          <t>未確認</t>
        </is>
      </c>
      <c r="T31" s="5" t="inlineStr">
        <is>
          <t>あり</t>
        </is>
      </c>
      <c r="U31" s="5" t="inlineStr">
        <is>
          <t>未確認</t>
        </is>
      </c>
      <c r="V31" s="5" t="inlineStr">
        <is>
          <t>要詳細分析</t>
        </is>
      </c>
      <c r="W31" s="5" t="inlineStr">
        <is>
          <t>マイナビグループ運営の障害者向け人材紹介。確定率9.34%は低め、EPC250円</t>
        </is>
      </c>
      <c r="X31" s="5" t="inlineStr">
        <is>
          <t>済（写真から入力）</t>
        </is>
      </c>
      <c r="Y31" s="5" t="inlineStr">
        <is>
          <t>A8.netプログラム詳細画面（ユーザー提供スクリーンショット）</t>
        </is>
      </c>
      <c r="Z31" s="5" t="inlineStr">
        <is>
          <t>2026-09-05</t>
        </is>
      </c>
      <c r="AA31" s="5" t="inlineStr">
        <is>
          <t>s00000023643001</t>
        </is>
      </c>
    </row>
    <row r="32">
      <c r="A32" s="5" t="n">
        <v>31</v>
      </c>
      <c r="B32" s="5" t="inlineStr">
        <is>
          <t>キャリアパーク就職エージェント（新卒）</t>
        </is>
      </c>
      <c r="C32" s="5" t="inlineStr">
        <is>
          <t>ポート株式会社</t>
        </is>
      </c>
      <c r="D32" s="5" t="inlineStr">
        <is>
          <t>新卒</t>
        </is>
      </c>
      <c r="E32" s="5" t="inlineStr">
        <is>
          <t>2026年卒 大学生</t>
        </is>
      </c>
      <c r="F32" s="6" t="n">
        <v>4000</v>
      </c>
      <c r="G32" s="5" t="inlineStr">
        <is>
          <t>新規エントリー完了</t>
        </is>
      </c>
      <c r="H32" s="5" t="inlineStr">
        <is>
          <t>エントリー完了</t>
        </is>
      </c>
      <c r="I32" s="7" t="n">
        <v>1</v>
      </c>
      <c r="J32" s="6" t="n">
        <v>93.45</v>
      </c>
      <c r="K32" s="8">
        <f>IF(OR(F32="",I32=""),"",F32*I32)</f>
        <v/>
      </c>
      <c r="L32" s="5" t="inlineStr">
        <is>
          <t>90日</t>
        </is>
      </c>
      <c r="M32" s="5" t="inlineStr">
        <is>
          <t>約30日</t>
        </is>
      </c>
      <c r="N32" s="5" t="inlineStr">
        <is>
          <t>広告主新規／WEBより17日以内に登録情報（大学・学部・学年）と実態の確認完了／26卒大学生</t>
        </is>
      </c>
      <c r="O32" s="5" t="inlineStr">
        <is>
          <t>辞退・連絡不通／サービスを理解しないままの申込／申込内容が明らかに不正な利用の場合／学生以外・既卒の申込／悪意・迷惑・入力不備／カウント不備／指定URL外のページからの申込／リスティング違反</t>
        </is>
      </c>
      <c r="P32" s="5" t="inlineStr">
        <is>
          <t>NG</t>
        </is>
      </c>
      <c r="Q32" s="5" t="inlineStr">
        <is>
          <t>NG</t>
        </is>
      </c>
      <c r="R32" s="5" t="inlineStr">
        <is>
          <t>未確認</t>
        </is>
      </c>
      <c r="S32" s="5" t="inlineStr">
        <is>
          <t>未確認</t>
        </is>
      </c>
      <c r="T32" s="5" t="inlineStr">
        <is>
          <t>あり</t>
        </is>
      </c>
      <c r="U32" s="5" t="inlineStr">
        <is>
          <t>未確認</t>
        </is>
      </c>
      <c r="V32" s="5" t="inlineStr">
        <is>
          <t>要詳細分析</t>
        </is>
      </c>
      <c r="W32" s="5" t="inlineStr">
        <is>
          <t>確定率100%・EPC93.45円と高水準。ただし対象が26卒学生限定のため通年では使えない</t>
        </is>
      </c>
      <c r="X32" s="5" t="inlineStr">
        <is>
          <t>済（写真から入力）</t>
        </is>
      </c>
      <c r="Y32" s="5" t="inlineStr">
        <is>
          <t>A8.netプログラム詳細画面（ユーザー提供スクリーンショット）</t>
        </is>
      </c>
      <c r="Z32" s="5" t="inlineStr">
        <is>
          <t>2026-09-05</t>
        </is>
      </c>
      <c r="AA32" s="5" t="inlineStr">
        <is>
          <t>s00000018455006</t>
        </is>
      </c>
    </row>
    <row r="33">
      <c r="A33" s="5" t="n">
        <v>32</v>
      </c>
      <c r="B33" s="5" t="inlineStr">
        <is>
          <t>レバテックフリーランス（Webエンジニア案件紹介）</t>
        </is>
      </c>
      <c r="C33" s="5" t="inlineStr">
        <is>
          <t>レバレジーズ株式会社</t>
        </is>
      </c>
      <c r="D33" s="5" t="inlineStr">
        <is>
          <t>IT(フリーランスエンジニア)</t>
        </is>
      </c>
      <c r="E33" s="5" t="inlineStr">
        <is>
          <t>案件紹介を希望するエンジニア（学生・フリーター・無職は対象外）</t>
        </is>
      </c>
      <c r="F33" s="6" t="n">
        <v>8000</v>
      </c>
      <c r="G33" s="5" t="inlineStr">
        <is>
          <t>新規登録完了</t>
        </is>
      </c>
      <c r="H33" s="5" t="inlineStr">
        <is>
          <t>新規会員登録完了（アンケート実施完了）</t>
        </is>
      </c>
      <c r="I33" s="7" t="n">
        <v>0.7846</v>
      </c>
      <c r="J33" s="6" t="n">
        <v>1472.46</v>
      </c>
      <c r="K33" s="8">
        <f>IF(OR(F33="",I33=""),"",F33*I33)</f>
        <v/>
      </c>
      <c r="L33" s="5" t="inlineStr">
        <is>
          <t>90日（初回のみ）</t>
        </is>
      </c>
      <c r="M33" s="5" t="inlineStr">
        <is>
          <t>約30日</t>
        </is>
      </c>
      <c r="N33" s="5" t="inlineStr">
        <is>
          <t>広告主新規／新規会員登録完了時の所定項目アンケート実施完了／案件紹介を目的とした利用者</t>
        </is>
      </c>
      <c r="O33" s="5" t="inlineStr">
        <is>
          <t>キャンセル・不備・なりすまし／リンク先ページを経由しない登録／学生・フリーター・無職の方の登録／案件紹介を希望しない場合／スマホからの新規会員登録／リスティング違反</t>
        </is>
      </c>
      <c r="P33" s="5" t="inlineStr">
        <is>
          <t>NG</t>
        </is>
      </c>
      <c r="Q33" s="5" t="inlineStr">
        <is>
          <t>NG</t>
        </is>
      </c>
      <c r="R33" s="5" t="inlineStr">
        <is>
          <t>未確認</t>
        </is>
      </c>
      <c r="S33" s="5" t="inlineStr">
        <is>
          <t>未確認</t>
        </is>
      </c>
      <c r="T33" s="5" t="inlineStr">
        <is>
          <t>あり</t>
        </is>
      </c>
      <c r="U33" s="5" t="inlineStr">
        <is>
          <t>未確認</t>
        </is>
      </c>
      <c r="V33" s="5" t="inlineStr">
        <is>
          <t>要詳細分析</t>
        </is>
      </c>
      <c r="W33" s="5" t="inlineStr">
        <is>
          <t>EPC1,472円・確定率78.46%と全体でも上位級。「平均年収881万円」が訴求材料。スマホ経由の登録は無効な点に注意</t>
        </is>
      </c>
      <c r="X33" s="5" t="inlineStr">
        <is>
          <t>済（写真から入力）</t>
        </is>
      </c>
      <c r="Y33" s="5" t="inlineStr">
        <is>
          <t>A8.netプログラム詳細画面（ユーザー提供スクリーンショット）</t>
        </is>
      </c>
      <c r="Z33" s="5" t="inlineStr">
        <is>
          <t>2026-09-05</t>
        </is>
      </c>
      <c r="AA33" s="5" t="inlineStr">
        <is>
          <t>s0000001866001（要確認・桁数不明瞭）</t>
        </is>
      </c>
    </row>
    <row r="34">
      <c r="A34" s="5" t="n">
        <v>33</v>
      </c>
      <c r="B34" s="5" t="inlineStr">
        <is>
          <t>ランスタッド プロフェッショナル転職サービス</t>
        </is>
      </c>
      <c r="C34" s="5" t="inlineStr">
        <is>
          <t>ランスタッド株式会社</t>
        </is>
      </c>
      <c r="D34" s="5" t="inlineStr">
        <is>
          <t>ハイクラス</t>
        </is>
      </c>
      <c r="E34" s="5" t="inlineStr">
        <is>
          <t>30〜40代、年収800万円以上のエグゼクティブ・管理職層</t>
        </is>
      </c>
      <c r="F34" s="6" t="n">
        <v>4218</v>
      </c>
      <c r="G34" s="5" t="inlineStr">
        <is>
          <t>新規サービス登録</t>
        </is>
      </c>
      <c r="H34" s="5" t="inlineStr">
        <is>
          <t>サービス登録完了</t>
        </is>
      </c>
      <c r="I34" s="7" t="n">
        <v>0.8181</v>
      </c>
      <c r="J34" s="6" t="n">
        <v>139.44</v>
      </c>
      <c r="K34" s="8">
        <f>IF(OR(F34="",I34=""),"",F34*I34)</f>
        <v/>
      </c>
      <c r="L34" s="5" t="inlineStr">
        <is>
          <t>90日（初回のみ）</t>
        </is>
      </c>
      <c r="M34" s="5" t="inlineStr">
        <is>
          <t>約30日</t>
        </is>
      </c>
      <c r="N34" s="5" t="inlineStr">
        <is>
          <t>広告主新規／WEBより30日以内にサービス登録完了／年収800万円以上の方</t>
        </is>
      </c>
      <c r="O34" s="5" t="inlineStr">
        <is>
          <t>虚偽・重複・申込不備／対象外ユーザーからの申込／登録後連絡がつかない場合／既に重複審査確認された場合／20歳以下・60歳以上の申込／リスティング違反</t>
        </is>
      </c>
      <c r="P34" s="5" t="inlineStr">
        <is>
          <t>NG</t>
        </is>
      </c>
      <c r="Q34" s="5" t="inlineStr">
        <is>
          <t>NG</t>
        </is>
      </c>
      <c r="R34" s="5" t="inlineStr">
        <is>
          <t>未確認</t>
        </is>
      </c>
      <c r="S34" s="5" t="inlineStr">
        <is>
          <t>未確認</t>
        </is>
      </c>
      <c r="T34" s="5" t="inlineStr">
        <is>
          <t>あり</t>
        </is>
      </c>
      <c r="U34" s="5" t="inlineStr">
        <is>
          <t>未確認</t>
        </is>
      </c>
      <c r="V34" s="5" t="inlineStr">
        <is>
          <t>要詳細分析</t>
        </is>
      </c>
      <c r="W34" s="5" t="inlineStr">
        <is>
          <t>年収800万円以上限定のハイクラス案件。世界的エージェントで医療・製薬・化学・消費財等の専門コンサルタントを訴求</t>
        </is>
      </c>
      <c r="X34" s="5" t="inlineStr">
        <is>
          <t>済（写真から入力）</t>
        </is>
      </c>
      <c r="Y34" s="5" t="inlineStr">
        <is>
          <t>A8.netプログラム詳細画面（ユーザー提供スクリーンショット）</t>
        </is>
      </c>
      <c r="Z34" s="5" t="inlineStr">
        <is>
          <t>2026-09-05</t>
        </is>
      </c>
      <c r="AA34" s="5" t="inlineStr">
        <is>
          <t>s00000019113004</t>
        </is>
      </c>
    </row>
    <row r="35">
      <c r="A35" s="5" t="n">
        <v>34</v>
      </c>
      <c r="B35" s="5" t="inlineStr">
        <is>
          <t>マッサージキャリアナビ（治療家特化の人材紹介）</t>
        </is>
      </c>
      <c r="C35" s="5" t="inlineStr">
        <is>
          <t>未確認</t>
        </is>
      </c>
      <c r="D35" s="5" t="inlineStr">
        <is>
          <t>医療(あん摩マッサージ指圧師等)</t>
        </is>
      </c>
      <c r="E35" s="5" t="inlineStr">
        <is>
          <t>柔道整復師・はり師・きゅう師・あん摩マッサージ指圧師</t>
        </is>
      </c>
      <c r="F35" s="6" t="n">
        <v>9000</v>
      </c>
      <c r="G35" s="5" t="inlineStr">
        <is>
          <t>新規会員登録</t>
        </is>
      </c>
      <c r="H35" s="5" t="inlineStr">
        <is>
          <t>会員登録完了</t>
        </is>
      </c>
      <c r="I35" s="7" t="n">
        <v>0.7647</v>
      </c>
      <c r="J35" s="6" t="n">
        <v>350.2</v>
      </c>
      <c r="K35" s="8">
        <f>IF(OR(F35="",I35=""),"",F35*I35)</f>
        <v/>
      </c>
      <c r="L35" s="5" t="inlineStr">
        <is>
          <t>90日（初回のみ）</t>
        </is>
      </c>
      <c r="M35" s="5" t="inlineStr">
        <is>
          <t>約30日</t>
        </is>
      </c>
      <c r="N35" s="5" t="inlineStr">
        <is>
          <t>広告主新規／WEBより会員登録完了後、一定期間内にキャリアアドバイザーとの連絡確立／対象資格保有者</t>
        </is>
      </c>
      <c r="O35" s="5" t="inlineStr">
        <is>
          <t>虚偽・不正・キャンセル・入力不備／1世帯2回以上の申込／サービスと関係のないユーザーからの登録／リスティング違反</t>
        </is>
      </c>
      <c r="P35" s="5" t="inlineStr">
        <is>
          <t>NG</t>
        </is>
      </c>
      <c r="Q35" s="5" t="inlineStr">
        <is>
          <t>NG</t>
        </is>
      </c>
      <c r="R35" s="5" t="inlineStr">
        <is>
          <t>未確認</t>
        </is>
      </c>
      <c r="S35" s="5" t="inlineStr">
        <is>
          <t>未確認</t>
        </is>
      </c>
      <c r="T35" s="5" t="inlineStr">
        <is>
          <t>あり</t>
        </is>
      </c>
      <c r="U35" s="5" t="inlineStr">
        <is>
          <t>未確認</t>
        </is>
      </c>
      <c r="V35" s="5" t="inlineStr">
        <is>
          <t>要詳細分析</t>
        </is>
      </c>
      <c r="W35" s="5" t="inlineStr">
        <is>
          <t>治療家系ニッチ資格特化。確定率76.47%・EPC350円と堅実</t>
        </is>
      </c>
      <c r="X35" s="5" t="inlineStr">
        <is>
          <t>済（写真から入力）</t>
        </is>
      </c>
      <c r="Y35" s="5" t="inlineStr">
        <is>
          <t>A8.netプログラム詳細画面（ユーザー提供スクリーンショット）</t>
        </is>
      </c>
      <c r="Z35" s="5" t="inlineStr">
        <is>
          <t>2026-09-05</t>
        </is>
      </c>
      <c r="AA35" s="5" t="inlineStr">
        <is>
          <t>s00000026070002</t>
        </is>
      </c>
    </row>
    <row r="36">
      <c r="A36" s="5" t="n">
        <v>35</v>
      </c>
      <c r="B36" s="5" t="inlineStr">
        <is>
          <t>歯科医師専門の転職エージェント</t>
        </is>
      </c>
      <c r="C36" s="5" t="inlineStr">
        <is>
          <t>株式会社PECORI</t>
        </is>
      </c>
      <c r="D36" s="5" t="inlineStr">
        <is>
          <t>医療(歯科医師)</t>
        </is>
      </c>
      <c r="E36" s="5" t="inlineStr">
        <is>
          <t>歯科医師免許保有、20代〜60代（32〜62歳）</t>
        </is>
      </c>
      <c r="F36" s="6" t="n">
        <v>9000</v>
      </c>
      <c r="G36" s="5" t="inlineStr">
        <is>
          <t>新規電話面談</t>
        </is>
      </c>
      <c r="H36" s="5" t="inlineStr">
        <is>
          <t>電話面談実施</t>
        </is>
      </c>
      <c r="I36" s="7" t="n"/>
      <c r="J36" s="6" t="n"/>
      <c r="K36" s="8">
        <f>IF(OR(F36="",I36=""),"",F36*I36)</f>
        <v/>
      </c>
      <c r="L36" s="5" t="inlineStr">
        <is>
          <t>90日</t>
        </is>
      </c>
      <c r="M36" s="5" t="inlineStr">
        <is>
          <t>約30日</t>
        </is>
      </c>
      <c r="N36" s="5" t="inlineStr">
        <is>
          <t>広告主新規／WEBより登録後14日以内に電話面談を実施完了／歯科医師の有資格者／62歳まで</t>
        </is>
      </c>
      <c r="O36" s="5" t="inlineStr">
        <is>
          <t>悪戯・虚偽・不正・キャンセル・重複・入力不備／1世帯2回以上の申込／リスティング違反</t>
        </is>
      </c>
      <c r="P36" s="5" t="inlineStr">
        <is>
          <t>NG</t>
        </is>
      </c>
      <c r="Q36" s="5" t="inlineStr">
        <is>
          <t>NG</t>
        </is>
      </c>
      <c r="R36" s="5" t="inlineStr">
        <is>
          <t>未確認</t>
        </is>
      </c>
      <c r="S36" s="5" t="inlineStr">
        <is>
          <t>未確認</t>
        </is>
      </c>
      <c r="T36" s="5" t="inlineStr">
        <is>
          <t>あり</t>
        </is>
      </c>
      <c r="U36" s="5" t="inlineStr">
        <is>
          <t>未確認</t>
        </is>
      </c>
      <c r="V36" s="5" t="inlineStr">
        <is>
          <t>要詳細分析</t>
        </is>
      </c>
      <c r="W36" s="5" t="inlineStr">
        <is>
          <t>歯科業界専門7年、7000件以上の求人取扱いを訴求。確定率・EPCとも非表示</t>
        </is>
      </c>
      <c r="X36" s="5" t="inlineStr">
        <is>
          <t>済（写真から入力、確定率・EPCデータなし）</t>
        </is>
      </c>
      <c r="Y36" s="5" t="inlineStr">
        <is>
          <t>A8.netプログラム詳細画面（ユーザー提供スクリーンショット）</t>
        </is>
      </c>
      <c r="Z36" s="5" t="inlineStr">
        <is>
          <t>2026-09-05</t>
        </is>
      </c>
      <c r="AA36" s="5" t="inlineStr">
        <is>
          <t>s00000024076003</t>
        </is>
      </c>
    </row>
    <row r="37">
      <c r="A37" s="5" t="n">
        <v>36</v>
      </c>
      <c r="B37" s="5" t="inlineStr">
        <is>
          <t>ジール就職エージェント（第二新卒・既卒）</t>
        </is>
      </c>
      <c r="C37" s="5" t="inlineStr">
        <is>
          <t>株式会社ジールコミュニケーションズ</t>
        </is>
      </c>
      <c r="D37" s="5" t="inlineStr">
        <is>
          <t>第二新卒・既卒</t>
        </is>
      </c>
      <c r="E37" s="5" t="inlineStr">
        <is>
          <t>24年既卒、既卒者、第二新卒（就職後3年以内）</t>
        </is>
      </c>
      <c r="F37" s="6" t="n">
        <v>750</v>
      </c>
      <c r="G37" s="5" t="inlineStr">
        <is>
          <t>新規会員登録（無料就職相談予約完了）</t>
        </is>
      </c>
      <c r="H37" s="5" t="inlineStr">
        <is>
          <t>無料就職相談予約完了</t>
        </is>
      </c>
      <c r="I37" s="7" t="n"/>
      <c r="J37" s="6" t="n"/>
      <c r="K37" s="8">
        <f>IF(OR(F37="",I37=""),"",F37*I37)</f>
        <v/>
      </c>
      <c r="L37" s="5" t="inlineStr">
        <is>
          <t>90日</t>
        </is>
      </c>
      <c r="M37" s="5" t="inlineStr">
        <is>
          <t>約30日</t>
        </is>
      </c>
      <c r="N37" s="5" t="inlineStr">
        <is>
          <t>広告主新規／WEBより無料就職相談の予約完了／24年既卒・既卒・第二新卒（就職後3年以内）</t>
        </is>
      </c>
      <c r="O37" s="5" t="inlineStr">
        <is>
          <t>悪戯・虚偽・不正・キャンセル・重複・入力不備／1世帯2回以上の申込／集客方法が不適切な場合／掲載媒体が不適切な場合／リスティング違反</t>
        </is>
      </c>
      <c r="P37" s="5" t="inlineStr">
        <is>
          <t>NG</t>
        </is>
      </c>
      <c r="Q37" s="5" t="inlineStr">
        <is>
          <t>NG</t>
        </is>
      </c>
      <c r="R37" s="5" t="inlineStr">
        <is>
          <t>未確認</t>
        </is>
      </c>
      <c r="S37" s="5" t="inlineStr">
        <is>
          <t>未確認</t>
        </is>
      </c>
      <c r="T37" s="5" t="inlineStr">
        <is>
          <t>あり</t>
        </is>
      </c>
      <c r="U37" s="5" t="inlineStr">
        <is>
          <t>未確認</t>
        </is>
      </c>
      <c r="V37" s="5" t="inlineStr">
        <is>
          <t>要詳細分析</t>
        </is>
      </c>
      <c r="W37" s="5" t="inlineStr">
        <is>
          <t>報酬750円と全体最低水準。累計5,000社以上の求人を保有と訴求。確定率・EPCとも非表示</t>
        </is>
      </c>
      <c r="X37" s="5" t="inlineStr">
        <is>
          <t>済（写真から入力、確定率・EPCデータなし）</t>
        </is>
      </c>
      <c r="Y37" s="5" t="inlineStr">
        <is>
          <t>A8.netプログラム詳細画面（ユーザー提供スクリーンショット）</t>
        </is>
      </c>
      <c r="Z37" s="5" t="inlineStr">
        <is>
          <t>2026-09-05</t>
        </is>
      </c>
      <c r="AA37" s="5" t="inlineStr">
        <is>
          <t>s00000023631003</t>
        </is>
      </c>
    </row>
    <row r="38">
      <c r="A38" s="5" t="n">
        <v>37</v>
      </c>
      <c r="B38" s="5" t="inlineStr">
        <is>
          <t>レバウェルリハビリ（PT・OT・ST特化）</t>
        </is>
      </c>
      <c r="C38" s="5" t="inlineStr">
        <is>
          <t>レバレジーズ株式会社</t>
        </is>
      </c>
      <c r="D38" s="5" t="inlineStr">
        <is>
          <t>医療(理学療法士・作業療法士・言語聴覚士)</t>
        </is>
      </c>
      <c r="E38" s="5" t="inlineStr">
        <is>
          <t>PT・OT・STの資格保有者</t>
        </is>
      </c>
      <c r="F38" s="6" t="n">
        <v>9000</v>
      </c>
      <c r="G38" s="5" t="inlineStr">
        <is>
          <t>新規会員登録</t>
        </is>
      </c>
      <c r="H38" s="5" t="inlineStr">
        <is>
          <t>会員登録完了</t>
        </is>
      </c>
      <c r="I38" s="7" t="n">
        <v>0.921</v>
      </c>
      <c r="J38" s="6" t="n">
        <v>215.54</v>
      </c>
      <c r="K38" s="8">
        <f>IF(OR(F38="",I38=""),"",F38*I38)</f>
        <v/>
      </c>
      <c r="L38" s="5" t="inlineStr">
        <is>
          <t>90日</t>
        </is>
      </c>
      <c r="M38" s="5" t="inlineStr">
        <is>
          <t>約30日</t>
        </is>
      </c>
      <c r="N38" s="5" t="inlineStr">
        <is>
          <t>広告主新規／WEBより会員登録完了／PT・OT・STいずれかの資格保有者</t>
        </is>
      </c>
      <c r="O38" s="5" t="inlineStr">
        <is>
          <t>サービス利用意思のない登録／虚偽・重複・なりすまし・不正な入力／リスティング違反</t>
        </is>
      </c>
      <c r="P38" s="5" t="inlineStr">
        <is>
          <t>NG</t>
        </is>
      </c>
      <c r="Q38" s="5" t="inlineStr">
        <is>
          <t>NG</t>
        </is>
      </c>
      <c r="R38" s="5" t="inlineStr">
        <is>
          <t>未確認</t>
        </is>
      </c>
      <c r="S38" s="5" t="inlineStr">
        <is>
          <t>未確認</t>
        </is>
      </c>
      <c r="T38" s="5" t="inlineStr">
        <is>
          <t>あり</t>
        </is>
      </c>
      <c r="U38" s="5" t="inlineStr">
        <is>
          <t>未確認</t>
        </is>
      </c>
      <c r="V38" s="5" t="inlineStr">
        <is>
          <t>要詳細分析</t>
        </is>
      </c>
      <c r="W38" s="5" t="inlineStr">
        <is>
          <t>確定率92.1%と全体でも最高水準。リハビリ職特化で非公開求人多数を訴求</t>
        </is>
      </c>
      <c r="X38" s="5" t="inlineStr">
        <is>
          <t>済（写真から入力）</t>
        </is>
      </c>
      <c r="Y38" s="5" t="inlineStr">
        <is>
          <t>A8.netプログラム詳細画面（ユーザー提供スクリーンショット）</t>
        </is>
      </c>
      <c r="Z38" s="5" t="inlineStr">
        <is>
          <t>2026-09-05</t>
        </is>
      </c>
      <c r="AA38" s="5" t="inlineStr">
        <is>
          <t>s00000022039005</t>
        </is>
      </c>
    </row>
    <row r="39">
      <c r="A39" s="5" t="n">
        <v>38</v>
      </c>
      <c r="B39" s="5" t="inlineStr">
        <is>
          <t>PE-BANK（フリーランスエンジニアの独立支援）</t>
        </is>
      </c>
      <c r="C39" s="5" t="inlineStr">
        <is>
          <t>株式会社ピーイー・バンク</t>
        </is>
      </c>
      <c r="D39" s="5" t="inlineStr">
        <is>
          <t>IT(フリーランスエンジニア)</t>
        </is>
      </c>
      <c r="E39" s="5" t="inlineStr">
        <is>
          <t>フリーランスのITエンジニア</t>
        </is>
      </c>
      <c r="F39" s="6" t="n">
        <v>9000</v>
      </c>
      <c r="G39" s="5" t="inlineStr">
        <is>
          <t>新規エントリー</t>
        </is>
      </c>
      <c r="H39" s="5" t="inlineStr">
        <is>
          <t>エントリー完了（本人確認含む）</t>
        </is>
      </c>
      <c r="I39" s="7" t="n">
        <v>0.5714</v>
      </c>
      <c r="J39" s="6" t="n">
        <v>30.11</v>
      </c>
      <c r="K39" s="8">
        <f>IF(OR(F39="",I39=""),"",F39*I39)</f>
        <v/>
      </c>
      <c r="L39" s="5" t="inlineStr">
        <is>
          <t>90日</t>
        </is>
      </c>
      <c r="M39" s="5" t="inlineStr">
        <is>
          <t>約30日</t>
        </is>
      </c>
      <c r="N39" s="5" t="inlineStr">
        <is>
          <t>広告主新規／WEBよりエントリー後、30日以内の本人確認</t>
        </is>
      </c>
      <c r="O39" s="5" t="inlineStr">
        <is>
          <t>1世帯2回以上の申込／登録から成果確定までに連絡がつかない場合／エンジニア経験のない方の申込／虚偽・重複・悪戯・入力不備・なりすまし／リスティング違反</t>
        </is>
      </c>
      <c r="P39" s="5" t="inlineStr">
        <is>
          <t>NG</t>
        </is>
      </c>
      <c r="Q39" s="5" t="inlineStr">
        <is>
          <t>NG</t>
        </is>
      </c>
      <c r="R39" s="5" t="inlineStr">
        <is>
          <t>未確認</t>
        </is>
      </c>
      <c r="S39" s="5" t="inlineStr">
        <is>
          <t>未確認</t>
        </is>
      </c>
      <c r="T39" s="5" t="inlineStr">
        <is>
          <t>あり</t>
        </is>
      </c>
      <c r="U39" s="5" t="inlineStr">
        <is>
          <t>未確認</t>
        </is>
      </c>
      <c r="V39" s="5" t="inlineStr">
        <is>
          <t>要詳細分析</t>
        </is>
      </c>
      <c r="W39" s="5" t="inlineStr">
        <is>
          <t>設立25年のフリーランスエンジニア支援。「手厚いサポート」を差別化ポイントとして訴求</t>
        </is>
      </c>
      <c r="X39" s="5" t="inlineStr">
        <is>
          <t>済（写真から入力）</t>
        </is>
      </c>
      <c r="Y39" s="5" t="inlineStr">
        <is>
          <t>A8.netプログラム詳細画面（ユーザー提供スクリーンショット）</t>
        </is>
      </c>
      <c r="Z39" s="5" t="inlineStr">
        <is>
          <t>2026-09-05</t>
        </is>
      </c>
      <c r="AA39" s="5" t="inlineStr">
        <is>
          <t>s00000017703001</t>
        </is>
      </c>
    </row>
    <row r="40">
      <c r="A40" s="5" t="n">
        <v>39</v>
      </c>
      <c r="B40" s="5" t="inlineStr">
        <is>
          <t>UZUZ第二新卒（新規面談完了8000円版）</t>
        </is>
      </c>
      <c r="C40" s="5" t="inlineStr">
        <is>
          <t>株式会社UZUZ</t>
        </is>
      </c>
      <c r="D40" s="5" t="inlineStr">
        <is>
          <t>第二新卒・既卒・フリーター・ニート</t>
        </is>
      </c>
      <c r="E40" s="5" t="inlineStr">
        <is>
          <t>18〜29歳の既卒・フリーター・ニート</t>
        </is>
      </c>
      <c r="F40" s="6" t="n">
        <v>8000</v>
      </c>
      <c r="G40" s="5" t="inlineStr">
        <is>
          <t>新規面談完了</t>
        </is>
      </c>
      <c r="H40" s="5" t="inlineStr">
        <is>
          <t>オンライン面談実施</t>
        </is>
      </c>
      <c r="I40" s="7" t="n">
        <v>0.3079</v>
      </c>
      <c r="J40" s="6" t="n">
        <v>69.20999999999999</v>
      </c>
      <c r="K40" s="8">
        <f>IF(OR(F40="",I40=""),"",F40*I40)</f>
        <v/>
      </c>
      <c r="L40" s="5" t="inlineStr">
        <is>
          <t>30日（初回）</t>
        </is>
      </c>
      <c r="M40" s="5" t="inlineStr">
        <is>
          <t>約15日</t>
        </is>
      </c>
      <c r="N40" s="5" t="inlineStr">
        <is>
          <t>WEBより登録完了、25日以内にオンラインで面談を実施／18〜29歳（既卒等）</t>
        </is>
      </c>
      <c r="O40" s="5" t="inlineStr">
        <is>
          <t>1世帯2回以上の申込／面談実施日から一定期間内の申込みでない場合／学生・大学中退者からの申込（要確認）／悪戯・なりすまし・虚偽・重複／リスティング違反</t>
        </is>
      </c>
      <c r="P40" s="5" t="inlineStr">
        <is>
          <t>NG</t>
        </is>
      </c>
      <c r="Q40" s="5" t="inlineStr">
        <is>
          <t>NG</t>
        </is>
      </c>
      <c r="R40" s="5" t="inlineStr">
        <is>
          <t>未確認</t>
        </is>
      </c>
      <c r="S40" s="5" t="inlineStr">
        <is>
          <t>未確認</t>
        </is>
      </c>
      <c r="T40" s="5" t="inlineStr">
        <is>
          <t>あり</t>
        </is>
      </c>
      <c r="U40" s="5" t="inlineStr">
        <is>
          <t>未確認</t>
        </is>
      </c>
      <c r="V40" s="5" t="inlineStr">
        <is>
          <t>要詳細分析</t>
        </is>
      </c>
      <c r="W40" s="5" t="inlineStr">
        <is>
          <t>ブラック企業排除・入社後フォローを訴求。同一広告主の別プログラム（会員登録9000円版）と条件・確定率が異なるため別行管理</t>
        </is>
      </c>
      <c r="X40" s="5" t="inlineStr">
        <is>
          <t>済（写真から入力）</t>
        </is>
      </c>
      <c r="Y40" s="5" t="inlineStr">
        <is>
          <t>A8.netプログラム詳細画面（ユーザー提供スクリーンショット）</t>
        </is>
      </c>
      <c r="Z40" s="5" t="inlineStr">
        <is>
          <t>2026-09-05</t>
        </is>
      </c>
      <c r="AA40" s="5" t="inlineStr">
        <is>
          <t>s00000014490002</t>
        </is>
      </c>
    </row>
    <row r="41">
      <c r="A41" s="5" t="n">
        <v>40</v>
      </c>
      <c r="B41" s="5" t="inlineStr">
        <is>
          <t>ジャスネットキャリア（公認会計士・税理士・経理特化）</t>
        </is>
      </c>
      <c r="C41" s="5" t="inlineStr">
        <is>
          <t>ジャスネットキャリア株式会社</t>
        </is>
      </c>
      <c r="D41" s="5" t="inlineStr">
        <is>
          <t>専門職(会計士・税理士・経理)</t>
        </is>
      </c>
      <c r="E41" s="5" t="inlineStr">
        <is>
          <t>20代・30代、公認会計士・税理士・経理職有資格者</t>
        </is>
      </c>
      <c r="F41" s="6" t="n">
        <v>9096</v>
      </c>
      <c r="G41" s="5" t="inlineStr">
        <is>
          <t>会員登録</t>
        </is>
      </c>
      <c r="H41" s="5" t="inlineStr">
        <is>
          <t>会員登録完了（プロフィール登録完了）</t>
        </is>
      </c>
      <c r="I41" s="7" t="n"/>
      <c r="J41" s="6" t="n"/>
      <c r="K41" s="8">
        <f>IF(OR(F41="",I41=""),"",F41*I41)</f>
        <v/>
      </c>
      <c r="L41" s="5" t="inlineStr">
        <is>
          <t>90日</t>
        </is>
      </c>
      <c r="M41" s="5" t="inlineStr">
        <is>
          <t>30日</t>
        </is>
      </c>
      <c r="N41" s="5" t="inlineStr">
        <is>
          <t>会員登録完了、プロフィール登録完了</t>
        </is>
      </c>
      <c r="O41" s="5" t="inlineStr">
        <is>
          <t>不正・いたずら・なりすまし・重複登録／リスティング違反／年齢条件あり（要確認）</t>
        </is>
      </c>
      <c r="P41" s="5" t="inlineStr">
        <is>
          <t>NG</t>
        </is>
      </c>
      <c r="Q41" s="5" t="inlineStr">
        <is>
          <t>NG</t>
        </is>
      </c>
      <c r="R41" s="5" t="inlineStr">
        <is>
          <t>未確認</t>
        </is>
      </c>
      <c r="S41" s="5" t="inlineStr">
        <is>
          <t>未確認</t>
        </is>
      </c>
      <c r="T41" s="5" t="inlineStr">
        <is>
          <t>あり</t>
        </is>
      </c>
      <c r="U41" s="5" t="inlineStr">
        <is>
          <t>未確認</t>
        </is>
      </c>
      <c r="V41" s="5" t="inlineStr">
        <is>
          <t>要詳細分析</t>
        </is>
      </c>
      <c r="W41" s="5" t="inlineStr">
        <is>
          <t>1996年創業の会計士・税理士特化型人材紹介、5000名超のネットワークを訴求。確定率・EPCとも非表示</t>
        </is>
      </c>
      <c r="X41" s="5" t="inlineStr">
        <is>
          <t>済（写真から入力、確定率・EPCデータなし）</t>
        </is>
      </c>
      <c r="Y41" s="5" t="inlineStr">
        <is>
          <t>A8.netプログラム詳細画面（ユーザー提供スクリーンショット）</t>
        </is>
      </c>
      <c r="Z41" s="5" t="inlineStr">
        <is>
          <t>2026-09-05</t>
        </is>
      </c>
      <c r="AA41" s="5" t="inlineStr">
        <is>
          <t>s00000015032001</t>
        </is>
      </c>
    </row>
    <row r="42">
      <c r="A42" s="5" t="n">
        <v>41</v>
      </c>
      <c r="B42" s="5" t="inlineStr">
        <is>
          <t>POSIWILL CAREER（キャリアコーチング）</t>
        </is>
      </c>
      <c r="C42" s="5" t="inlineStr">
        <is>
          <t>ポジウィル株式会社</t>
        </is>
      </c>
      <c r="D42" s="5" t="inlineStr">
        <is>
          <t>キャリアコーチング</t>
        </is>
      </c>
      <c r="E42" s="5" t="inlineStr">
        <is>
          <t>20〜39歳、キャリアに悩む層</t>
        </is>
      </c>
      <c r="F42" s="6" t="n">
        <v>9473</v>
      </c>
      <c r="G42" s="5" t="inlineStr">
        <is>
          <t>新規無料カウンセリング面談完了</t>
        </is>
      </c>
      <c r="H42" s="5" t="inlineStr">
        <is>
          <t>無料カウンセリング面談実施</t>
        </is>
      </c>
      <c r="I42" s="7" t="n">
        <v>0.6701</v>
      </c>
      <c r="J42" s="6" t="n">
        <v>105.78</v>
      </c>
      <c r="K42" s="8">
        <f>IF(OR(F42="",I42=""),"",F42*I42)</f>
        <v/>
      </c>
      <c r="L42" s="5" t="inlineStr">
        <is>
          <t>90日</t>
        </is>
      </c>
      <c r="M42" s="5" t="inlineStr">
        <is>
          <t>約45日</t>
        </is>
      </c>
      <c r="N42" s="5" t="inlineStr">
        <is>
          <t>広告主新規／WEBより30日以内の無料カウンセリング面談実施／20〜39歳</t>
        </is>
      </c>
      <c r="O42" s="5" t="inlineStr">
        <is>
          <t>キャンセル・重複・連絡がつかない場合／明らかに不正と分かる申込／リスティング違反</t>
        </is>
      </c>
      <c r="P42" s="5" t="inlineStr">
        <is>
          <t>NG</t>
        </is>
      </c>
      <c r="Q42" s="5" t="inlineStr">
        <is>
          <t>NG</t>
        </is>
      </c>
      <c r="R42" s="5" t="inlineStr">
        <is>
          <t>未確認</t>
        </is>
      </c>
      <c r="S42" s="5" t="inlineStr">
        <is>
          <t>未確認</t>
        </is>
      </c>
      <c r="T42" s="5" t="inlineStr">
        <is>
          <t>あり</t>
        </is>
      </c>
      <c r="U42" s="5" t="inlineStr">
        <is>
          <t>未確認</t>
        </is>
      </c>
      <c r="V42" s="5" t="inlineStr">
        <is>
          <t>要詳細分析</t>
        </is>
      </c>
      <c r="W42" s="5" t="inlineStr">
        <is>
          <t>転職エージェントではなくキャリアコーチング。「モヤモヤの言語化」を訴求軸にする点が他の転職系と異なる</t>
        </is>
      </c>
      <c r="X42" s="5" t="inlineStr">
        <is>
          <t>済（写真から入力）</t>
        </is>
      </c>
      <c r="Y42" s="5" t="inlineStr">
        <is>
          <t>A8.netプログラム詳細画面（ユーザー提供スクリーンショット）</t>
        </is>
      </c>
      <c r="Z42" s="5" t="inlineStr">
        <is>
          <t>2026-09-05</t>
        </is>
      </c>
      <c r="AA42" s="5" t="inlineStr">
        <is>
          <t>s00000025557001</t>
        </is>
      </c>
    </row>
    <row r="43">
      <c r="A43" s="5" t="n">
        <v>42</v>
      </c>
      <c r="B43" s="5" t="inlineStr">
        <is>
          <t>UZUZ第二新卒（新規会員登録9000円版）</t>
        </is>
      </c>
      <c r="C43" s="5" t="inlineStr">
        <is>
          <t>株式会社UZUZ</t>
        </is>
      </c>
      <c r="D43" s="5" t="inlineStr">
        <is>
          <t>第二新卒・既卒・フリーター・ニート</t>
        </is>
      </c>
      <c r="E43" s="5" t="inlineStr">
        <is>
          <t>18〜29歳の既卒・フリーター・ニート</t>
        </is>
      </c>
      <c r="F43" s="6" t="n">
        <v>9000</v>
      </c>
      <c r="G43" s="5" t="inlineStr">
        <is>
          <t>新規会員登録</t>
        </is>
      </c>
      <c r="H43" s="5" t="inlineStr">
        <is>
          <t>オンライン面談実施</t>
        </is>
      </c>
      <c r="I43" s="7" t="n">
        <v>0.5313</v>
      </c>
      <c r="J43" s="6" t="n">
        <v>66.14</v>
      </c>
      <c r="K43" s="8">
        <f>IF(OR(F43="",I43=""),"",F43*I43)</f>
        <v/>
      </c>
      <c r="L43" s="5" t="inlineStr">
        <is>
          <t>30日（初回）</t>
        </is>
      </c>
      <c r="M43" s="5" t="inlineStr">
        <is>
          <t>約15日</t>
        </is>
      </c>
      <c r="N43" s="5" t="inlineStr">
        <is>
          <t>WEBより登録完了、2週間以内にオンライン面談を実施／18〜29歳（既卒等）</t>
        </is>
      </c>
      <c r="O43" s="5" t="inlineStr">
        <is>
          <t>1世帯2回以上の申込／面談実施日から一定期間内の申込みでない場合／悪戯・なりすまし・虚偽・重複／リスティング違反</t>
        </is>
      </c>
      <c r="P43" s="5" t="inlineStr">
        <is>
          <t>NG</t>
        </is>
      </c>
      <c r="Q43" s="5" t="inlineStr">
        <is>
          <t>NG</t>
        </is>
      </c>
      <c r="R43" s="5" t="inlineStr">
        <is>
          <t>未確認</t>
        </is>
      </c>
      <c r="S43" s="5" t="inlineStr">
        <is>
          <t>未確認</t>
        </is>
      </c>
      <c r="T43" s="5" t="inlineStr">
        <is>
          <t>あり</t>
        </is>
      </c>
      <c r="U43" s="5" t="inlineStr">
        <is>
          <t>未確認</t>
        </is>
      </c>
      <c r="V43" s="5" t="inlineStr">
        <is>
          <t>要詳細分析</t>
        </is>
      </c>
      <c r="W43" s="5" t="inlineStr">
        <is>
          <t>同一広告主の別プログラム（面談完了8000円版）と条件・確定率が異なる。プログラムIDが画像から判読できず要確認</t>
        </is>
      </c>
      <c r="X43" s="5" t="inlineStr">
        <is>
          <t>済（写真から入力、プログラムID要確認）</t>
        </is>
      </c>
      <c r="Y43" s="5" t="inlineStr">
        <is>
          <t>A8.netプログラム詳細画面（ユーザー提供スクリーンショット）</t>
        </is>
      </c>
      <c r="Z43" s="5" t="inlineStr">
        <is>
          <t>2026-09-05</t>
        </is>
      </c>
      <c r="AA43" s="5" t="inlineStr">
        <is>
          <t>未確認（画像不鮮明）</t>
        </is>
      </c>
    </row>
    <row r="44">
      <c r="A44" s="5" t="n">
        <v>43</v>
      </c>
      <c r="B44" s="5" t="inlineStr">
        <is>
          <t>社労士JOB（社労士・人事労務職特化）</t>
        </is>
      </c>
      <c r="C44" s="5" t="inlineStr">
        <is>
          <t>株式会社アクトウェル</t>
        </is>
      </c>
      <c r="D44" s="5" t="inlineStr">
        <is>
          <t>専門職(社労士・人事労務)</t>
        </is>
      </c>
      <c r="E44" s="5" t="inlineStr">
        <is>
          <t>社労士有資格者、25〜45歳</t>
        </is>
      </c>
      <c r="F44" s="6" t="n">
        <v>10000</v>
      </c>
      <c r="G44" s="5" t="inlineStr">
        <is>
          <t>新規無料転職相談申込</t>
        </is>
      </c>
      <c r="H44" s="5" t="inlineStr">
        <is>
          <t>無料転職相談実施完了</t>
        </is>
      </c>
      <c r="I44" s="7" t="n"/>
      <c r="J44" s="6" t="n"/>
      <c r="K44" s="8">
        <f>IF(OR(F44="",I44=""),"",F44*I44)</f>
        <v/>
      </c>
      <c r="L44" s="5" t="inlineStr">
        <is>
          <t>90日（初回のみ）</t>
        </is>
      </c>
      <c r="M44" s="5" t="inlineStr">
        <is>
          <t>約30日</t>
        </is>
      </c>
      <c r="N44" s="5" t="inlineStr">
        <is>
          <t>広告主新規／WEBより30日以内の無料転職相談を実施完了／社労士有資格者／25〜45歳</t>
        </is>
      </c>
      <c r="O44" s="5" t="inlineStr">
        <is>
          <t>申込不備・いたずら・キャンセル・重複／1世帯2回以上の申込／リスティング違反</t>
        </is>
      </c>
      <c r="P44" s="5" t="inlineStr">
        <is>
          <t>NG</t>
        </is>
      </c>
      <c r="Q44" s="5" t="inlineStr">
        <is>
          <t>NG</t>
        </is>
      </c>
      <c r="R44" s="5" t="inlineStr">
        <is>
          <t>未確認</t>
        </is>
      </c>
      <c r="S44" s="5" t="inlineStr">
        <is>
          <t>未確認</t>
        </is>
      </c>
      <c r="T44" s="5" t="inlineStr">
        <is>
          <t>あり</t>
        </is>
      </c>
      <c r="U44" s="5" t="inlineStr">
        <is>
          <t>未確認</t>
        </is>
      </c>
      <c r="V44" s="5" t="inlineStr">
        <is>
          <t>要詳細分析</t>
        </is>
      </c>
      <c r="W44" s="5" t="inlineStr">
        <is>
          <t>完全成功報酬型。15年以上の実績・業界トップクラスのフィードバック満足度を訴求。確定率・EPCとも非表示</t>
        </is>
      </c>
      <c r="X44" s="5" t="inlineStr">
        <is>
          <t>済（写真から入力、確定率・EPCデータなし）</t>
        </is>
      </c>
      <c r="Y44" s="5" t="inlineStr">
        <is>
          <t>A8.netプログラム詳細画面（ユーザー提供スクリーンショット）</t>
        </is>
      </c>
      <c r="Z44" s="5" t="inlineStr">
        <is>
          <t>2026-09-05</t>
        </is>
      </c>
      <c r="AA44" s="5" t="inlineStr">
        <is>
          <t>s00000027726001</t>
        </is>
      </c>
    </row>
    <row r="45">
      <c r="A45" s="5" t="n">
        <v>44</v>
      </c>
      <c r="B45" s="5" t="inlineStr">
        <is>
          <t>Piece Axis（営業職特化の転職支援）</t>
        </is>
      </c>
      <c r="C45" s="5" t="inlineStr">
        <is>
          <t>株式会社piece_in</t>
        </is>
      </c>
      <c r="D45" s="5" t="inlineStr">
        <is>
          <t>営業職</t>
        </is>
      </c>
      <c r="E45" s="5" t="inlineStr">
        <is>
          <t>18〜35歳、日本国内在住</t>
        </is>
      </c>
      <c r="F45" s="6" t="n">
        <v>10000</v>
      </c>
      <c r="G45" s="5" t="inlineStr">
        <is>
          <t>新規面談実施</t>
        </is>
      </c>
      <c r="H45" s="5" t="inlineStr">
        <is>
          <t>面談実施完了</t>
        </is>
      </c>
      <c r="I45" s="7" t="n"/>
      <c r="J45" s="6" t="n"/>
      <c r="K45" s="8">
        <f>IF(OR(F45="",I45=""),"",F45*I45)</f>
        <v/>
      </c>
      <c r="L45" s="5" t="inlineStr">
        <is>
          <t>90日（初回のみ）</t>
        </is>
      </c>
      <c r="M45" s="5" t="inlineStr">
        <is>
          <t>約30日</t>
        </is>
      </c>
      <c r="N45" s="5" t="inlineStr">
        <is>
          <t>広告主新規／WEBより30日以内の面談実施／18〜35歳／日本国内在住</t>
        </is>
      </c>
      <c r="O45" s="5" t="inlineStr">
        <is>
          <t>入力不備・重複・いたずら・キャンセル・不正／LINE経由の連絡不可の場合／リスティング違反</t>
        </is>
      </c>
      <c r="P45" s="5" t="inlineStr">
        <is>
          <t>NG</t>
        </is>
      </c>
      <c r="Q45" s="5" t="inlineStr">
        <is>
          <t>NG</t>
        </is>
      </c>
      <c r="R45" s="5" t="inlineStr">
        <is>
          <t>未確認</t>
        </is>
      </c>
      <c r="S45" s="5" t="inlineStr">
        <is>
          <t>未確認</t>
        </is>
      </c>
      <c r="T45" s="5" t="inlineStr">
        <is>
          <t>あり</t>
        </is>
      </c>
      <c r="U45" s="5" t="inlineStr">
        <is>
          <t>未確認</t>
        </is>
      </c>
      <c r="V45" s="5" t="inlineStr">
        <is>
          <t>要詳細分析</t>
        </is>
      </c>
      <c r="W45" s="5" t="inlineStr">
        <is>
          <t>営業経験者特化。非公開求人・年収UPを訴求。面談ハードルが低いため訴求しやすいとPR文に記載。確定率・EPCとも非表示</t>
        </is>
      </c>
      <c r="X45" s="5" t="inlineStr">
        <is>
          <t>済（写真から入力、確定率・EPCデータなし）</t>
        </is>
      </c>
      <c r="Y45" s="5" t="inlineStr">
        <is>
          <t>A8.netプログラム詳細画面（ユーザー提供スクリーンショット）</t>
        </is>
      </c>
      <c r="Z45" s="5" t="inlineStr">
        <is>
          <t>2026-09-05</t>
        </is>
      </c>
      <c r="AA45" s="5" t="inlineStr">
        <is>
          <t>s00000027674001</t>
        </is>
      </c>
    </row>
    <row r="46">
      <c r="A46" s="5" t="n">
        <v>45</v>
      </c>
      <c r="B46" s="5" t="inlineStr">
        <is>
          <t>ふじもりケアラー京都（京都の障害者就労支援）</t>
        </is>
      </c>
      <c r="C46" s="5" t="inlineStr">
        <is>
          <t>株式会社ドリームケアラー京都</t>
        </is>
      </c>
      <c r="D46" s="5" t="inlineStr">
        <is>
          <t>障害者就労支援(地域特化・京都)</t>
        </is>
      </c>
      <c r="E46" s="5" t="inlineStr">
        <is>
          <t>障害・病気を抱える方、京都府内中心</t>
        </is>
      </c>
      <c r="F46" s="6" t="n">
        <v>10000</v>
      </c>
      <c r="G46" s="5" t="inlineStr">
        <is>
          <t>新規相談実施</t>
        </is>
      </c>
      <c r="H46" s="5" t="inlineStr">
        <is>
          <t>相談実施完了</t>
        </is>
      </c>
      <c r="I46" s="7" t="n"/>
      <c r="J46" s="6" t="n"/>
      <c r="K46" s="8">
        <f>IF(OR(F46="",I46=""),"",F46*I46)</f>
        <v/>
      </c>
      <c r="L46" s="5" t="inlineStr">
        <is>
          <t>90日（初回のみ）</t>
        </is>
      </c>
      <c r="M46" s="5" t="inlineStr">
        <is>
          <t>約30日</t>
        </is>
      </c>
      <c r="N46" s="5" t="inlineStr">
        <is>
          <t>広告主新規／WEB申込、30日以内の相談実施完了</t>
        </is>
      </c>
      <c r="O46" s="5" t="inlineStr">
        <is>
          <t>キャンセル・不正・申込不備・いたずら・虚偽／1世帯2回以上の申込／リスティング違反</t>
        </is>
      </c>
      <c r="P46" s="5" t="inlineStr">
        <is>
          <t>NG</t>
        </is>
      </c>
      <c r="Q46" s="5" t="inlineStr">
        <is>
          <t>NG</t>
        </is>
      </c>
      <c r="R46" s="5" t="inlineStr">
        <is>
          <t>未確認</t>
        </is>
      </c>
      <c r="S46" s="5" t="inlineStr">
        <is>
          <t>未確認</t>
        </is>
      </c>
      <c r="T46" s="5" t="inlineStr">
        <is>
          <t>あり</t>
        </is>
      </c>
      <c r="U46" s="5" t="inlineStr">
        <is>
          <t>未確認</t>
        </is>
      </c>
      <c r="V46" s="5" t="inlineStr">
        <is>
          <t>要詳細分析</t>
        </is>
      </c>
      <c r="W46" s="5" t="inlineStr">
        <is>
          <t>地域特化（京都）の障害者向け就労移行支援。確定率・EPCとも非表示</t>
        </is>
      </c>
      <c r="X46" s="5" t="inlineStr">
        <is>
          <t>済（写真から入力、確定率・EPCデータなし）</t>
        </is>
      </c>
      <c r="Y46" s="5" t="inlineStr">
        <is>
          <t>A8.netプログラム詳細画面（ユーザー提供スクリーンショット）</t>
        </is>
      </c>
      <c r="Z46" s="5" t="inlineStr">
        <is>
          <t>2026-09-05</t>
        </is>
      </c>
      <c r="AA46" s="5" t="inlineStr">
        <is>
          <t>s00000027544001</t>
        </is>
      </c>
    </row>
    <row r="47">
      <c r="A47" s="5" t="n">
        <v>46</v>
      </c>
      <c r="B47" s="5" t="inlineStr">
        <is>
          <t>キャリナビ転職（伴走型キャリアコーチング）</t>
        </is>
      </c>
      <c r="C47" s="5" t="inlineStr">
        <is>
          <t>株式会社Assh</t>
        </is>
      </c>
      <c r="D47" s="5" t="inlineStr">
        <is>
          <t>キャリアコーチング</t>
        </is>
      </c>
      <c r="E47" s="5" t="inlineStr">
        <is>
          <t>20〜34歳</t>
        </is>
      </c>
      <c r="F47" s="6" t="n">
        <v>10000</v>
      </c>
      <c r="G47" s="5" t="inlineStr">
        <is>
          <t>新規面談実施完了</t>
        </is>
      </c>
      <c r="H47" s="5" t="inlineStr">
        <is>
          <t>面談実施完了</t>
        </is>
      </c>
      <c r="I47" s="7" t="n">
        <v>0.8928</v>
      </c>
      <c r="J47" s="6" t="n">
        <v>161.36</v>
      </c>
      <c r="K47" s="8">
        <f>IF(OR(F47="",I47=""),"",F47*I47)</f>
        <v/>
      </c>
      <c r="L47" s="5" t="inlineStr">
        <is>
          <t>90日（初回のみ）</t>
        </is>
      </c>
      <c r="M47" s="5" t="inlineStr">
        <is>
          <t>約30日</t>
        </is>
      </c>
      <c r="N47" s="5" t="inlineStr">
        <is>
          <t>広告主新規／WEBより30日以内の面談実施完了／20〜34歳</t>
        </is>
      </c>
      <c r="O47" s="5" t="inlineStr">
        <is>
          <t>キャンセル・不正・申込不備・いたずら・重複／対象外エリア・外国籍の方／リスティング違反</t>
        </is>
      </c>
      <c r="P47" s="5" t="inlineStr">
        <is>
          <t>NG</t>
        </is>
      </c>
      <c r="Q47" s="5" t="inlineStr">
        <is>
          <t>NG</t>
        </is>
      </c>
      <c r="R47" s="5" t="inlineStr">
        <is>
          <t>未確認</t>
        </is>
      </c>
      <c r="S47" s="5" t="inlineStr">
        <is>
          <t>未確認</t>
        </is>
      </c>
      <c r="T47" s="5" t="inlineStr">
        <is>
          <t>あり</t>
        </is>
      </c>
      <c r="U47" s="5" t="inlineStr">
        <is>
          <t>未確認</t>
        </is>
      </c>
      <c r="V47" s="5" t="inlineStr">
        <is>
          <t>要詳細分析</t>
        </is>
      </c>
      <c r="W47" s="5" t="inlineStr">
        <is>
          <t>確定率89.28%・EPC161円と高水準。「完全無料×伴走型」「ゴリ押しされない」口コミを訴求材料に</t>
        </is>
      </c>
      <c r="X47" s="5" t="inlineStr">
        <is>
          <t>済（写真から入力）</t>
        </is>
      </c>
      <c r="Y47" s="5" t="inlineStr">
        <is>
          <t>A8.netプログラム詳細画面（ユーザー提供スクリーンショット）</t>
        </is>
      </c>
      <c r="Z47" s="5" t="inlineStr">
        <is>
          <t>2026-09-05</t>
        </is>
      </c>
      <c r="AA47" s="5" t="inlineStr">
        <is>
          <t>s00000027527001</t>
        </is>
      </c>
    </row>
    <row r="48">
      <c r="A48" s="5" t="n">
        <v>47</v>
      </c>
      <c r="B48" s="5" t="inlineStr">
        <is>
          <t>介護タウン（未経験・ブランクOK介護転職）</t>
        </is>
      </c>
      <c r="C48" s="5" t="inlineStr">
        <is>
          <t>株式会社グローバリッジ</t>
        </is>
      </c>
      <c r="D48" s="5" t="inlineStr">
        <is>
          <t>医療・介護</t>
        </is>
      </c>
      <c r="E48" s="5" t="inlineStr">
        <is>
          <t>20〜60代、介護未経験・ブランクOK</t>
        </is>
      </c>
      <c r="F48" s="6" t="n">
        <v>10000</v>
      </c>
      <c r="G48" s="5" t="inlineStr">
        <is>
          <t>新規面談実施</t>
        </is>
      </c>
      <c r="H48" s="5" t="inlineStr">
        <is>
          <t>面談実施完了</t>
        </is>
      </c>
      <c r="I48" s="7" t="n"/>
      <c r="J48" s="6" t="n"/>
      <c r="K48" s="8">
        <f>IF(OR(F48="",I48=""),"",F48*I48)</f>
        <v/>
      </c>
      <c r="L48" s="5" t="inlineStr">
        <is>
          <t>90日（初回のみ）</t>
        </is>
      </c>
      <c r="M48" s="5" t="inlineStr">
        <is>
          <t>約30日</t>
        </is>
      </c>
      <c r="N48" s="5" t="inlineStr">
        <is>
          <t>広告主新規／WEB申込、30日以内の面談実施</t>
        </is>
      </c>
      <c r="O48" s="5" t="inlineStr">
        <is>
          <t>不正・虚偽・いたずら・重複成果／1世帯2回以上の申込／リスティング違反</t>
        </is>
      </c>
      <c r="P48" s="5" t="inlineStr">
        <is>
          <t>NG</t>
        </is>
      </c>
      <c r="Q48" s="5" t="inlineStr">
        <is>
          <t>NG</t>
        </is>
      </c>
      <c r="R48" s="5" t="inlineStr">
        <is>
          <t>未確認</t>
        </is>
      </c>
      <c r="S48" s="5" t="inlineStr">
        <is>
          <t>未確認</t>
        </is>
      </c>
      <c r="T48" s="5" t="inlineStr">
        <is>
          <t>あり</t>
        </is>
      </c>
      <c r="U48" s="5" t="inlineStr">
        <is>
          <t>未確認</t>
        </is>
      </c>
      <c r="V48" s="5" t="inlineStr">
        <is>
          <t>要詳細分析</t>
        </is>
      </c>
      <c r="W48" s="5" t="inlineStr">
        <is>
          <t>未経験・ブランクOKで間口が広い。資格取得支援制度ありの求人を訴求。確定率・EPCとも非表示</t>
        </is>
      </c>
      <c r="X48" s="5" t="inlineStr">
        <is>
          <t>済（写真から入力、確定率・EPCデータなし）</t>
        </is>
      </c>
      <c r="Y48" s="5" t="inlineStr">
        <is>
          <t>A8.netプログラム詳細画面（ユーザー提供スクリーンショット）</t>
        </is>
      </c>
      <c r="Z48" s="5" t="inlineStr">
        <is>
          <t>2026-09-05</t>
        </is>
      </c>
      <c r="AA48" s="5" t="inlineStr">
        <is>
          <t>s00000027480001</t>
        </is>
      </c>
    </row>
    <row r="49">
      <c r="A49" s="5" t="n">
        <v>48</v>
      </c>
      <c r="B49" s="5" t="inlineStr">
        <is>
          <t>おしごとカルテ（保育士・幼稚園教諭特化）</t>
        </is>
      </c>
      <c r="C49" s="5" t="inlineStr">
        <is>
          <t>株式会社ビアラ</t>
        </is>
      </c>
      <c r="D49" s="5" t="inlineStr">
        <is>
          <t>医療・保育(保育士・幼稚園教諭)</t>
        </is>
      </c>
      <c r="E49" s="5" t="inlineStr">
        <is>
          <t>保育士・幼稚園教諭資格保有者</t>
        </is>
      </c>
      <c r="F49" s="6" t="n">
        <v>10000</v>
      </c>
      <c r="G49" s="5" t="inlineStr">
        <is>
          <t>新規会員登録完了</t>
        </is>
      </c>
      <c r="H49" s="5" t="inlineStr">
        <is>
          <t>会員登録完了</t>
        </is>
      </c>
      <c r="I49" s="7" t="n">
        <v>1</v>
      </c>
      <c r="J49" s="6" t="n">
        <v>2800</v>
      </c>
      <c r="K49" s="8">
        <f>IF(OR(F49="",I49=""),"",F49*I49)</f>
        <v/>
      </c>
      <c r="L49" s="5" t="inlineStr">
        <is>
          <t>7日（初回のみ）</t>
        </is>
      </c>
      <c r="M49" s="5" t="inlineStr">
        <is>
          <t>約30日</t>
        </is>
      </c>
      <c r="N49" s="5" t="inlineStr">
        <is>
          <t>広告主新規／WEBより会員登録完了</t>
        </is>
      </c>
      <c r="O49" s="5" t="inlineStr">
        <is>
          <t>重複・不正・キャンセル／保育士・幼稚園教諭いずれかの資格をお持ちでない方／個人情報不備／リスティング違反</t>
        </is>
      </c>
      <c r="P49" s="5" t="inlineStr">
        <is>
          <t>NG</t>
        </is>
      </c>
      <c r="Q49" s="5" t="inlineStr">
        <is>
          <t>NG</t>
        </is>
      </c>
      <c r="R49" s="5" t="inlineStr">
        <is>
          <t>未確認</t>
        </is>
      </c>
      <c r="S49" s="5" t="inlineStr">
        <is>
          <t>未確認</t>
        </is>
      </c>
      <c r="T49" s="5" t="inlineStr">
        <is>
          <t>あり</t>
        </is>
      </c>
      <c r="U49" s="5" t="inlineStr">
        <is>
          <t>未確認</t>
        </is>
      </c>
      <c r="V49" s="5" t="inlineStr">
        <is>
          <t>要詳細分析</t>
        </is>
      </c>
      <c r="W49" s="5" t="inlineStr">
        <is>
          <t>確定率100%・EPC2,800円と全体最高水準級。AI価値観診断による地域特化型マッチングを訴求。クッキー期間が7日と短い点に注意</t>
        </is>
      </c>
      <c r="X49" s="5" t="inlineStr">
        <is>
          <t>済（写真から入力）</t>
        </is>
      </c>
      <c r="Y49" s="5" t="inlineStr">
        <is>
          <t>A8.netプログラム詳細画面（ユーザー提供スクリーンショット）</t>
        </is>
      </c>
      <c r="Z49" s="5" t="inlineStr">
        <is>
          <t>2026-09-05</t>
        </is>
      </c>
      <c r="AA49" s="5" t="inlineStr">
        <is>
          <t>s00000027473001</t>
        </is>
      </c>
    </row>
    <row r="50">
      <c r="A50" s="5" t="n">
        <v>49</v>
      </c>
      <c r="B50" s="5" t="inlineStr">
        <is>
          <t>Samurai Job（グローバル・外資・ハイクラス転職）</t>
        </is>
      </c>
      <c r="C50" s="5" t="inlineStr">
        <is>
          <t>ムーンコンサルティングエンタープライズ</t>
        </is>
      </c>
      <c r="D50" s="5" t="inlineStr">
        <is>
          <t>ハイクラス</t>
        </is>
      </c>
      <c r="E50" s="5" t="inlineStr">
        <is>
          <t>年収600万円以上、55歳まで</t>
        </is>
      </c>
      <c r="F50" s="6" t="n">
        <v>10000</v>
      </c>
      <c r="G50" s="5" t="inlineStr">
        <is>
          <t>新規無料カウンセリング</t>
        </is>
      </c>
      <c r="H50" s="5" t="inlineStr">
        <is>
          <t>無料カウンセリング実施完了</t>
        </is>
      </c>
      <c r="I50" s="7" t="n">
        <v>0.2857</v>
      </c>
      <c r="J50" s="6" t="n">
        <v>41.55</v>
      </c>
      <c r="K50" s="8">
        <f>IF(OR(F50="",I50=""),"",F50*I50)</f>
        <v/>
      </c>
      <c r="L50" s="5" t="inlineStr">
        <is>
          <t>90日（初回のみ）</t>
        </is>
      </c>
      <c r="M50" s="5" t="inlineStr">
        <is>
          <t>約30日</t>
        </is>
      </c>
      <c r="N50" s="5" t="inlineStr">
        <is>
          <t>広告主新規／WEBより30日以内にカウンセリング実施完了／年収600万円以上／55歳まで</t>
        </is>
      </c>
      <c r="O50" s="5" t="inlineStr">
        <is>
          <t>重複・悪戯・迷惑・入力不備・なりすまし／リスティング違反</t>
        </is>
      </c>
      <c r="P50" s="5" t="inlineStr">
        <is>
          <t>NG</t>
        </is>
      </c>
      <c r="Q50" s="5" t="inlineStr">
        <is>
          <t>NG</t>
        </is>
      </c>
      <c r="R50" s="5" t="inlineStr">
        <is>
          <t>未確認</t>
        </is>
      </c>
      <c r="S50" s="5" t="inlineStr">
        <is>
          <t>未確認</t>
        </is>
      </c>
      <c r="T50" s="5" t="inlineStr">
        <is>
          <t>あり</t>
        </is>
      </c>
      <c r="U50" s="5" t="inlineStr">
        <is>
          <t>未確認</t>
        </is>
      </c>
      <c r="V50" s="5" t="inlineStr">
        <is>
          <t>要詳細分析</t>
        </is>
      </c>
      <c r="W50" s="5" t="inlineStr">
        <is>
          <t>外資系・グローバル・ハイクラス特化。確定率28.57%・EPC41.55円</t>
        </is>
      </c>
      <c r="X50" s="5" t="inlineStr">
        <is>
          <t>済（写真から入力）</t>
        </is>
      </c>
      <c r="Y50" s="5" t="inlineStr">
        <is>
          <t>A8.netプログラム詳細画面（ユーザー提供スクリーンショット）</t>
        </is>
      </c>
      <c r="Z50" s="5" t="inlineStr">
        <is>
          <t>2026-09-05</t>
        </is>
      </c>
      <c r="AA50" s="5" t="inlineStr">
        <is>
          <t>s00000027466001</t>
        </is>
      </c>
    </row>
    <row r="51">
      <c r="A51" s="5" t="n">
        <v>50</v>
      </c>
      <c r="B51" s="5" t="inlineStr">
        <is>
          <t>メーカー転職ならタイズ</t>
        </is>
      </c>
      <c r="C51" s="5" t="inlineStr">
        <is>
          <t>株式会社タイズ</t>
        </is>
      </c>
      <c r="D51" s="5" t="inlineStr">
        <is>
          <t>メーカー(製造業)</t>
        </is>
      </c>
      <c r="E51" s="5" t="inlineStr">
        <is>
          <t>20代後半〜30代</t>
        </is>
      </c>
      <c r="F51" s="6" t="n">
        <v>7400</v>
      </c>
      <c r="G51" s="5" t="inlineStr">
        <is>
          <t>新規会員登録完了</t>
        </is>
      </c>
      <c r="H51" s="5" t="inlineStr">
        <is>
          <t>会員登録完了</t>
        </is>
      </c>
      <c r="I51" s="7" t="n"/>
      <c r="J51" s="6" t="n"/>
      <c r="K51" s="8">
        <f>IF(OR(F51="",I51=""),"",F51*I51)</f>
        <v/>
      </c>
      <c r="L51" s="5" t="inlineStr">
        <is>
          <t>90日（初回のみ）</t>
        </is>
      </c>
      <c r="M51" s="5" t="inlineStr">
        <is>
          <t>約30日</t>
        </is>
      </c>
      <c r="N51" s="5" t="inlineStr">
        <is>
          <t>広告主新規／WEBより会員登録完了</t>
        </is>
      </c>
      <c r="O51" s="5" t="inlineStr">
        <is>
          <t>不正・申込不備・いたずら・重複／リスティング違反</t>
        </is>
      </c>
      <c r="P51" s="5" t="inlineStr">
        <is>
          <t>NG</t>
        </is>
      </c>
      <c r="Q51" s="5" t="inlineStr">
        <is>
          <t>NG</t>
        </is>
      </c>
      <c r="R51" s="5" t="inlineStr">
        <is>
          <t>未確認</t>
        </is>
      </c>
      <c r="S51" s="5" t="inlineStr">
        <is>
          <t>未確認</t>
        </is>
      </c>
      <c r="T51" s="5" t="inlineStr">
        <is>
          <t>あり</t>
        </is>
      </c>
      <c r="U51" s="5" t="inlineStr">
        <is>
          <t>未確認</t>
        </is>
      </c>
      <c r="V51" s="5" t="inlineStr">
        <is>
          <t>要詳細分析</t>
        </is>
      </c>
      <c r="W51" s="5" t="inlineStr">
        <is>
          <t>大手メーカー出身コンサルタントによるものづくり業界特化型エージェント。確定率・EPCとも非表示</t>
        </is>
      </c>
      <c r="X51" s="5" t="inlineStr">
        <is>
          <t>済（写真から入力、確定率・EPCデータなし）</t>
        </is>
      </c>
      <c r="Y51" s="5" t="inlineStr">
        <is>
          <t>A8.netプログラム詳細画面（ユーザー提供スクリーンショット）</t>
        </is>
      </c>
      <c r="Z51" s="5" t="inlineStr">
        <is>
          <t>2026-09-05</t>
        </is>
      </c>
      <c r="AA51" s="5" t="inlineStr">
        <is>
          <t>s00000027409001</t>
        </is>
      </c>
    </row>
    <row r="52">
      <c r="A52" s="5" t="n">
        <v>51</v>
      </c>
      <c r="B52" s="5" t="inlineStr">
        <is>
          <t>クボタ筑波期間従業員（寮あり・正社員登用有）</t>
        </is>
      </c>
      <c r="C52" s="5" t="inlineStr">
        <is>
          <t>トリプルエース株式会社</t>
        </is>
      </c>
      <c r="D52" s="5" t="inlineStr">
        <is>
          <t>製造業(期間工)</t>
        </is>
      </c>
      <c r="E52" s="5" t="inlineStr">
        <is>
          <t>18〜29歳、日本国籍、高卒可</t>
        </is>
      </c>
      <c r="F52" s="6" t="n">
        <v>10000</v>
      </c>
      <c r="G52" s="5" t="inlineStr">
        <is>
          <t>新規応募</t>
        </is>
      </c>
      <c r="H52" s="5" t="inlineStr">
        <is>
          <t>応募完了（3日以内に電話で本人確認）</t>
        </is>
      </c>
      <c r="I52" s="7" t="n">
        <v>0.8</v>
      </c>
      <c r="J52" s="6" t="n">
        <v>402.98</v>
      </c>
      <c r="K52" s="8">
        <f>IF(OR(F52="",I52=""),"",F52*I52)</f>
        <v/>
      </c>
      <c r="L52" s="5" t="inlineStr">
        <is>
          <t>90日（初回のみ）</t>
        </is>
      </c>
      <c r="M52" s="5" t="inlineStr">
        <is>
          <t>約30日</t>
        </is>
      </c>
      <c r="N52" s="5" t="inlineStr">
        <is>
          <t>広告主新規／WEBより応募後、3日以内に電話で本人確認／18〜29歳／日本国籍</t>
        </is>
      </c>
      <c r="O52" s="5" t="inlineStr">
        <is>
          <t>不備・不正・虚偽・いたずら・重複成果／リスティング違反</t>
        </is>
      </c>
      <c r="P52" s="5" t="inlineStr">
        <is>
          <t>NG</t>
        </is>
      </c>
      <c r="Q52" s="5" t="inlineStr">
        <is>
          <t>NG</t>
        </is>
      </c>
      <c r="R52" s="5" t="inlineStr">
        <is>
          <t>未確認</t>
        </is>
      </c>
      <c r="S52" s="5" t="inlineStr">
        <is>
          <t>未確認</t>
        </is>
      </c>
      <c r="T52" s="5" t="inlineStr">
        <is>
          <t>あり</t>
        </is>
      </c>
      <c r="U52" s="5" t="inlineStr">
        <is>
          <t>未確認</t>
        </is>
      </c>
      <c r="V52" s="5" t="inlineStr">
        <is>
          <t>要詳細分析</t>
        </is>
      </c>
      <c r="W52" s="5" t="inlineStr">
        <is>
          <t>確定率80%・EPC402.98円と製造業系の中では高水準。寮費無料・稼働手当を訴求</t>
        </is>
      </c>
      <c r="X52" s="5" t="inlineStr">
        <is>
          <t>済（写真から入力）</t>
        </is>
      </c>
      <c r="Y52" s="5" t="inlineStr">
        <is>
          <t>A8.netプログラム詳細画面（ユーザー提供スクリーンショット）</t>
        </is>
      </c>
      <c r="Z52" s="5" t="inlineStr">
        <is>
          <t>2026-09-05</t>
        </is>
      </c>
      <c r="AA52" s="5" t="inlineStr">
        <is>
          <t>s00000027304001</t>
        </is>
      </c>
    </row>
    <row r="53">
      <c r="A53" s="5" t="n">
        <v>52</v>
      </c>
      <c r="B53" s="5" t="inlineStr">
        <is>
          <t>キャリアカンパニー（未経験ITエンジニア特化）</t>
        </is>
      </c>
      <c r="C53" s="5" t="inlineStr">
        <is>
          <t>株式会社インデックス</t>
        </is>
      </c>
      <c r="D53" s="5" t="inlineStr">
        <is>
          <t>IT(未経験可)</t>
        </is>
      </c>
      <c r="E53" s="5" t="inlineStr">
        <is>
          <t>20〜39歳、東京・神奈川・埼玉・千葉・大阪在住</t>
        </is>
      </c>
      <c r="F53" s="6" t="n">
        <v>10000</v>
      </c>
      <c r="G53" s="5" t="inlineStr">
        <is>
          <t>新規無料相談実施完了</t>
        </is>
      </c>
      <c r="H53" s="5" t="inlineStr">
        <is>
          <t>無料相談実施完了</t>
        </is>
      </c>
      <c r="I53" s="7" t="n">
        <v>0.58</v>
      </c>
      <c r="J53" s="6" t="n">
        <v>567.01</v>
      </c>
      <c r="K53" s="8">
        <f>IF(OR(F53="",I53=""),"",F53*I53)</f>
        <v/>
      </c>
      <c r="L53" s="5" t="inlineStr">
        <is>
          <t>90日（初回のみ）</t>
        </is>
      </c>
      <c r="M53" s="5" t="inlineStr">
        <is>
          <t>約30日</t>
        </is>
      </c>
      <c r="N53" s="5" t="inlineStr">
        <is>
          <t>広告主新規／WEBより30日以内のアドバイザーとの相談完了／20〜39歳／対象エリア在住</t>
        </is>
      </c>
      <c r="O53" s="5" t="inlineStr">
        <is>
          <t>重複・不正・キャンセル・なりすまし・迷惑／リスティング違反</t>
        </is>
      </c>
      <c r="P53" s="5" t="inlineStr">
        <is>
          <t>NG</t>
        </is>
      </c>
      <c r="Q53" s="5" t="inlineStr">
        <is>
          <t>NG</t>
        </is>
      </c>
      <c r="R53" s="5" t="inlineStr">
        <is>
          <t>未確認</t>
        </is>
      </c>
      <c r="S53" s="5" t="inlineStr">
        <is>
          <t>未確認</t>
        </is>
      </c>
      <c r="T53" s="5" t="inlineStr">
        <is>
          <t>あり</t>
        </is>
      </c>
      <c r="U53" s="5" t="inlineStr">
        <is>
          <t>未確認</t>
        </is>
      </c>
      <c r="V53" s="5" t="inlineStr">
        <is>
          <t>要詳細分析</t>
        </is>
      </c>
      <c r="W53" s="5" t="inlineStr">
        <is>
          <t>確定率58%・EPC567円と壁の低いIT未経験系の中では高水準。3,000社以上の求人と入社後フォロー体制を訴求</t>
        </is>
      </c>
      <c r="X53" s="5" t="inlineStr">
        <is>
          <t>済（写真から入力）</t>
        </is>
      </c>
      <c r="Y53" s="5" t="inlineStr">
        <is>
          <t>A8.netプログラム詳細画面（ユーザー提供スクリーンショット）</t>
        </is>
      </c>
      <c r="Z53" s="5" t="inlineStr">
        <is>
          <t>2026-09-05</t>
        </is>
      </c>
      <c r="AA53" s="5" t="inlineStr">
        <is>
          <t>s00000027288001</t>
        </is>
      </c>
    </row>
    <row r="54">
      <c r="A54" s="5" t="n">
        <v>53</v>
      </c>
      <c r="B54" s="5" t="inlineStr">
        <is>
          <t>RestLab（飲食業界特化の求人紹介）</t>
        </is>
      </c>
      <c r="C54" s="5" t="inlineStr">
        <is>
          <t>株式会社イロー</t>
        </is>
      </c>
      <c r="D54" s="5" t="inlineStr">
        <is>
          <t>飲食業界</t>
        </is>
      </c>
      <c r="E54" s="5" t="inlineStr">
        <is>
          <t>18〜69歳、大阪・東京・京都・愛知の方</t>
        </is>
      </c>
      <c r="F54" s="6" t="n">
        <v>10000</v>
      </c>
      <c r="G54" s="5" t="inlineStr">
        <is>
          <t>新規無料相談</t>
        </is>
      </c>
      <c r="H54" s="5" t="inlineStr">
        <is>
          <t>無料相談実施完了</t>
        </is>
      </c>
      <c r="I54" s="7" t="n">
        <v>0.1111</v>
      </c>
      <c r="J54" s="6" t="n"/>
      <c r="K54" s="8">
        <f>IF(OR(F54="",I54=""),"",F54*I54)</f>
        <v/>
      </c>
      <c r="L54" s="5" t="inlineStr">
        <is>
          <t>90日（初回のみ）</t>
        </is>
      </c>
      <c r="M54" s="5" t="inlineStr">
        <is>
          <t>約30日</t>
        </is>
      </c>
      <c r="N54" s="5" t="inlineStr">
        <is>
          <t>広告主新規／WEBより2週間以内にキャリアアドバイザーとの相談実施</t>
        </is>
      </c>
      <c r="O54" s="5" t="inlineStr">
        <is>
          <t>虚偽・申込不備・いたずら・重複成果／リスティング違反</t>
        </is>
      </c>
      <c r="P54" s="5" t="inlineStr">
        <is>
          <t>NG</t>
        </is>
      </c>
      <c r="Q54" s="5" t="inlineStr">
        <is>
          <t>NG</t>
        </is>
      </c>
      <c r="R54" s="5" t="inlineStr">
        <is>
          <t>未確認</t>
        </is>
      </c>
      <c r="S54" s="5" t="inlineStr">
        <is>
          <t>未確認</t>
        </is>
      </c>
      <c r="T54" s="5" t="inlineStr">
        <is>
          <t>あり</t>
        </is>
      </c>
      <c r="U54" s="5" t="inlineStr">
        <is>
          <t>未確認</t>
        </is>
      </c>
      <c r="V54" s="5" t="inlineStr">
        <is>
          <t>要詳細分析</t>
        </is>
      </c>
      <c r="W54" s="5" t="inlineStr">
        <is>
          <t>確定率11.11%と低め。正社員だけでなくアルバイト・パートも紹介可能で間口は広い</t>
        </is>
      </c>
      <c r="X54" s="5" t="inlineStr">
        <is>
          <t>済（写真から入力、EPCデータなし）</t>
        </is>
      </c>
      <c r="Y54" s="5" t="inlineStr">
        <is>
          <t>A8.netプログラム詳細画面（ユーザー提供スクリーンショット）</t>
        </is>
      </c>
      <c r="Z54" s="5" t="inlineStr">
        <is>
          <t>2026-09-05</t>
        </is>
      </c>
      <c r="AA54" s="5" t="inlineStr">
        <is>
          <t>s0000026845001</t>
        </is>
      </c>
    </row>
    <row r="55">
      <c r="A55" s="5" t="n">
        <v>54</v>
      </c>
      <c r="B55" s="5" t="inlineStr">
        <is>
          <t>パーパスデック／ミドル（40代特化キャリアメンター）</t>
        </is>
      </c>
      <c r="C55" s="5" t="inlineStr">
        <is>
          <t>株式会社ナラティブラボ</t>
        </is>
      </c>
      <c r="D55" s="5" t="inlineStr">
        <is>
          <t>キャリアコーチング(ミドル世代)</t>
        </is>
      </c>
      <c r="E55" s="5" t="inlineStr">
        <is>
          <t>40代、日本人、正社員または個人・法人事業主</t>
        </is>
      </c>
      <c r="F55" s="6" t="n">
        <v>10000</v>
      </c>
      <c r="G55" s="5" t="inlineStr">
        <is>
          <t>新規無料カウンセリング</t>
        </is>
      </c>
      <c r="H55" s="5" t="inlineStr">
        <is>
          <t>無料カウンセリング実施完了</t>
        </is>
      </c>
      <c r="I55" s="7" t="n"/>
      <c r="J55" s="6" t="n"/>
      <c r="K55" s="8">
        <f>IF(OR(F55="",I55=""),"",F55*I55)</f>
        <v/>
      </c>
      <c r="L55" s="5" t="inlineStr">
        <is>
          <t>90日（初回のみ）</t>
        </is>
      </c>
      <c r="M55" s="5" t="inlineStr">
        <is>
          <t>約30日</t>
        </is>
      </c>
      <c r="N55" s="5" t="inlineStr">
        <is>
          <t>広告主新規／WEBより30日以内の無料カウンセリング実施完了／日本人／正社員または個人・法人事業主</t>
        </is>
      </c>
      <c r="O55" s="5" t="inlineStr">
        <is>
          <t>キャンセル・不正・虚偽・いたずら／リスティング違反</t>
        </is>
      </c>
      <c r="P55" s="5" t="inlineStr">
        <is>
          <t>NG</t>
        </is>
      </c>
      <c r="Q55" s="5" t="inlineStr">
        <is>
          <t>NG</t>
        </is>
      </c>
      <c r="R55" s="5" t="inlineStr">
        <is>
          <t>未確認</t>
        </is>
      </c>
      <c r="S55" s="5" t="inlineStr">
        <is>
          <t>未確認</t>
        </is>
      </c>
      <c r="T55" s="5" t="inlineStr">
        <is>
          <t>あり</t>
        </is>
      </c>
      <c r="U55" s="5" t="inlineStr">
        <is>
          <t>未確認</t>
        </is>
      </c>
      <c r="V55" s="5" t="inlineStr">
        <is>
          <t>要詳細分析</t>
        </is>
      </c>
      <c r="W55" s="5" t="inlineStr">
        <is>
          <t>40代ミドル世代特化のメンターサービス。ユース版（同広告主）と報酬体系は同一で対象年代のみ異なる。確定率・EPCとも非表示</t>
        </is>
      </c>
      <c r="X55" s="5" t="inlineStr">
        <is>
          <t>済（写真から入力、確定率・EPCデータなし）</t>
        </is>
      </c>
      <c r="Y55" s="5" t="inlineStr">
        <is>
          <t>A8.netプログラム詳細画面（ユーザー提供スクリーンショット）</t>
        </is>
      </c>
      <c r="Z55" s="5" t="inlineStr">
        <is>
          <t>2026-09-05</t>
        </is>
      </c>
      <c r="AA55" s="5" t="inlineStr">
        <is>
          <t>s00000026548002</t>
        </is>
      </c>
    </row>
    <row r="56">
      <c r="A56" s="5" t="n">
        <v>55</v>
      </c>
      <c r="B56" s="5" t="inlineStr">
        <is>
          <t>パーパスデック／ユース（20代特化キャリアメンター）</t>
        </is>
      </c>
      <c r="C56" s="5" t="inlineStr">
        <is>
          <t>株式会社ナラティブラボ</t>
        </is>
      </c>
      <c r="D56" s="5" t="inlineStr">
        <is>
          <t>キャリアコーチング(20代)</t>
        </is>
      </c>
      <c r="E56" s="5" t="inlineStr">
        <is>
          <t>20代、日本人、正社員または個人・法人事業主</t>
        </is>
      </c>
      <c r="F56" s="6" t="n">
        <v>10000</v>
      </c>
      <c r="G56" s="5" t="inlineStr">
        <is>
          <t>新規無料カウンセリング</t>
        </is>
      </c>
      <c r="H56" s="5" t="inlineStr">
        <is>
          <t>無料カウンセリング実施完了</t>
        </is>
      </c>
      <c r="I56" s="7" t="n"/>
      <c r="J56" s="6" t="n"/>
      <c r="K56" s="8">
        <f>IF(OR(F56="",I56=""),"",F56*I56)</f>
        <v/>
      </c>
      <c r="L56" s="5" t="inlineStr">
        <is>
          <t>90日（初回のみ）</t>
        </is>
      </c>
      <c r="M56" s="5" t="inlineStr">
        <is>
          <t>約30日</t>
        </is>
      </c>
      <c r="N56" s="5" t="inlineStr">
        <is>
          <t>広告主新規／WEBより30日以内の無料カウンセリング実施完了／日本人／正社員または個人・法人事業主</t>
        </is>
      </c>
      <c r="O56" s="5" t="inlineStr">
        <is>
          <t>キャンセル・不正・虚偽・いたずら／リスティング違反</t>
        </is>
      </c>
      <c r="P56" s="5" t="inlineStr">
        <is>
          <t>NG</t>
        </is>
      </c>
      <c r="Q56" s="5" t="inlineStr">
        <is>
          <t>NG</t>
        </is>
      </c>
      <c r="R56" s="5" t="inlineStr">
        <is>
          <t>未確認</t>
        </is>
      </c>
      <c r="S56" s="5" t="inlineStr">
        <is>
          <t>未確認</t>
        </is>
      </c>
      <c r="T56" s="5" t="inlineStr">
        <is>
          <t>あり</t>
        </is>
      </c>
      <c r="U56" s="5" t="inlineStr">
        <is>
          <t>未確認</t>
        </is>
      </c>
      <c r="V56" s="5" t="inlineStr">
        <is>
          <t>要詳細分析</t>
        </is>
      </c>
      <c r="W56" s="5" t="inlineStr">
        <is>
          <t>20代特化のメンターサービス。ミドル版（同広告主）と報酬体系は同一で対象年代のみ異なる。確定率・EPCとも非表示</t>
        </is>
      </c>
      <c r="X56" s="5" t="inlineStr">
        <is>
          <t>済（写真から入力、確定率・EPCデータなし）</t>
        </is>
      </c>
      <c r="Y56" s="5" t="inlineStr">
        <is>
          <t>A8.netプログラム詳細画面（ユーザー提供スクリーンショット）</t>
        </is>
      </c>
      <c r="Z56" s="5" t="inlineStr">
        <is>
          <t>2026-09-05</t>
        </is>
      </c>
      <c r="AA56" s="5" t="inlineStr">
        <is>
          <t>s00000026548001</t>
        </is>
      </c>
    </row>
    <row r="57">
      <c r="A57" s="5" t="n">
        <v>56</v>
      </c>
      <c r="B57" s="5" t="inlineStr">
        <is>
          <t>エニカン AnyKan（ゲーム・エンタメ業界特化）</t>
        </is>
      </c>
      <c r="C57" s="5" t="inlineStr">
        <is>
          <t>AnyKan株式会社</t>
        </is>
      </c>
      <c r="D57" s="5" t="inlineStr">
        <is>
          <t>ゲーム・エンタメ業界</t>
        </is>
      </c>
      <c r="E57" s="5" t="inlineStr">
        <is>
          <t>業界経験者</t>
        </is>
      </c>
      <c r="F57" s="6" t="n">
        <v>10000</v>
      </c>
      <c r="G57" s="5" t="inlineStr">
        <is>
          <t>新規電話面談予約</t>
        </is>
      </c>
      <c r="H57" s="5" t="inlineStr">
        <is>
          <t>電話面談実施</t>
        </is>
      </c>
      <c r="I57" s="7" t="n">
        <v>0.4285</v>
      </c>
      <c r="J57" s="6" t="n"/>
      <c r="K57" s="8">
        <f>IF(OR(F57="",I57=""),"",F57*I57)</f>
        <v/>
      </c>
      <c r="L57" s="5" t="inlineStr">
        <is>
          <t>90日（初回のみ）</t>
        </is>
      </c>
      <c r="M57" s="5" t="inlineStr">
        <is>
          <t>約30日</t>
        </is>
      </c>
      <c r="N57" s="5" t="inlineStr">
        <is>
          <t>広告主新規／WEBより30日以内に電話での面談を実施</t>
        </is>
      </c>
      <c r="O57" s="5" t="inlineStr">
        <is>
          <t>虚偽・キャンセル・なりすまし／1世帯2回以上の申込／リスティング違反</t>
        </is>
      </c>
      <c r="P57" s="5" t="inlineStr">
        <is>
          <t>NG</t>
        </is>
      </c>
      <c r="Q57" s="5" t="inlineStr">
        <is>
          <t>NG</t>
        </is>
      </c>
      <c r="R57" s="5" t="inlineStr">
        <is>
          <t>未確認</t>
        </is>
      </c>
      <c r="S57" s="5" t="inlineStr">
        <is>
          <t>未確認</t>
        </is>
      </c>
      <c r="T57" s="5" t="inlineStr">
        <is>
          <t>あり</t>
        </is>
      </c>
      <c r="U57" s="5" t="inlineStr">
        <is>
          <t>未確認</t>
        </is>
      </c>
      <c r="V57" s="5" t="inlineStr">
        <is>
          <t>要詳細分析</t>
        </is>
      </c>
      <c r="W57" s="5" t="inlineStr">
        <is>
          <t>2006年からのゲーム・エンタメ特化エージェント。業界人材3,000名以上の実績を訴求。EPCは非表示</t>
        </is>
      </c>
      <c r="X57" s="5" t="inlineStr">
        <is>
          <t>済（写真から入力、EPCデータなし）</t>
        </is>
      </c>
      <c r="Y57" s="5" t="inlineStr">
        <is>
          <t>A8.netプログラム詳細画面（ユーザー提供スクリーンショット）</t>
        </is>
      </c>
      <c r="Z57" s="5" t="inlineStr">
        <is>
          <t>2026-09-05</t>
        </is>
      </c>
      <c r="AA57" s="5" t="inlineStr">
        <is>
          <t>s00000026390001</t>
        </is>
      </c>
    </row>
    <row r="58">
      <c r="A58" s="5" t="n">
        <v>57</v>
      </c>
      <c r="B58" s="5" t="inlineStr">
        <is>
          <t>ミツプロ（税理士・会計業界特化）</t>
        </is>
      </c>
      <c r="C58" s="5" t="inlineStr">
        <is>
          <t>株式会社ミラクルポテンシャル</t>
        </is>
      </c>
      <c r="D58" s="5" t="inlineStr">
        <is>
          <t>専門職(税理士・会計)</t>
        </is>
      </c>
      <c r="E58" s="5" t="inlineStr">
        <is>
          <t>24歳以上、税理士・会計スタッフ及び有資格者</t>
        </is>
      </c>
      <c r="F58" s="6" t="n">
        <v>10000</v>
      </c>
      <c r="G58" s="5" t="inlineStr">
        <is>
          <t>新規会員登録</t>
        </is>
      </c>
      <c r="H58" s="5" t="inlineStr">
        <is>
          <t>会員登録完了</t>
        </is>
      </c>
      <c r="I58" s="7" t="n">
        <v>0.3333</v>
      </c>
      <c r="J58" s="6" t="n">
        <v>789.47</v>
      </c>
      <c r="K58" s="8">
        <f>IF(OR(F58="",I58=""),"",F58*I58)</f>
        <v/>
      </c>
      <c r="L58" s="5" t="inlineStr">
        <is>
          <t>90日（初回のみ）</t>
        </is>
      </c>
      <c r="M58" s="5" t="inlineStr">
        <is>
          <t>約45日</t>
        </is>
      </c>
      <c r="N58" s="5" t="inlineStr">
        <is>
          <t>広告主新規／WEBより会員登録完了、30日以内に電話またはメールでの本人確認完了／24歳以上</t>
        </is>
      </c>
      <c r="O58" s="5" t="inlineStr">
        <is>
          <t>不備・不正・入力不備が明らかな場合／1世帯2回以上の申込／リスティング違反</t>
        </is>
      </c>
      <c r="P58" s="5" t="inlineStr">
        <is>
          <t>NG</t>
        </is>
      </c>
      <c r="Q58" s="5" t="inlineStr">
        <is>
          <t>NG</t>
        </is>
      </c>
      <c r="R58" s="5" t="inlineStr">
        <is>
          <t>未確認</t>
        </is>
      </c>
      <c r="S58" s="5" t="inlineStr">
        <is>
          <t>未確認</t>
        </is>
      </c>
      <c r="T58" s="5" t="inlineStr">
        <is>
          <t>あり</t>
        </is>
      </c>
      <c r="U58" s="5" t="inlineStr">
        <is>
          <t>未確認</t>
        </is>
      </c>
      <c r="V58" s="5" t="inlineStr">
        <is>
          <t>要詳細分析</t>
        </is>
      </c>
      <c r="W58" s="5" t="inlineStr">
        <is>
          <t>確定率33.33%・EPC789.47円。税理士・会計業界特化でミスマッチの少なさを訴求</t>
        </is>
      </c>
      <c r="X58" s="5" t="inlineStr">
        <is>
          <t>済（写真から入力）</t>
        </is>
      </c>
      <c r="Y58" s="5" t="inlineStr">
        <is>
          <t>A8.netプログラム詳細画面（ユーザー提供スクリーンショット）</t>
        </is>
      </c>
      <c r="Z58" s="5" t="inlineStr">
        <is>
          <t>2026-09-05</t>
        </is>
      </c>
      <c r="AA58" s="5" t="inlineStr">
        <is>
          <t>s00000026359001</t>
        </is>
      </c>
    </row>
    <row r="59">
      <c r="A59" s="5" t="n">
        <v>58</v>
      </c>
      <c r="B59" s="5" t="inlineStr">
        <is>
          <t>エンジニアルーム（フリーランスエンジニア案件紹介・実績28年）</t>
        </is>
      </c>
      <c r="C59" s="5" t="inlineStr">
        <is>
          <t>株式会社エム・エム・システム</t>
        </is>
      </c>
      <c r="D59" s="5" t="inlineStr">
        <is>
          <t>IT(フリーランスエンジニア)</t>
        </is>
      </c>
      <c r="E59" s="5" t="inlineStr">
        <is>
          <t>20〜50代、インフラ系・マネージャー・コンサル系エンジニア</t>
        </is>
      </c>
      <c r="F59" s="6" t="n">
        <v>10000</v>
      </c>
      <c r="G59" s="5" t="inlineStr">
        <is>
          <t>新規エントリー</t>
        </is>
      </c>
      <c r="H59" s="5" t="inlineStr">
        <is>
          <t>エントリー完了</t>
        </is>
      </c>
      <c r="I59" s="7" t="n"/>
      <c r="J59" s="6" t="n"/>
      <c r="K59" s="8">
        <f>IF(OR(F59="",I59=""),"",F59*I59)</f>
        <v/>
      </c>
      <c r="L59" s="5" t="inlineStr">
        <is>
          <t>90日</t>
        </is>
      </c>
      <c r="M59" s="5" t="inlineStr">
        <is>
          <t>約30日</t>
        </is>
      </c>
      <c r="N59" s="5" t="inlineStr">
        <is>
          <t>広告主新規／WEBよりエントリー後の対応完了</t>
        </is>
      </c>
      <c r="O59" s="5" t="inlineStr">
        <is>
          <t>虚偽・キャンセル・重複／56歳以上の申込／1世帯複数フォームからの申込／リスティング違反</t>
        </is>
      </c>
      <c r="P59" s="5" t="inlineStr">
        <is>
          <t>NG</t>
        </is>
      </c>
      <c r="Q59" s="5" t="inlineStr">
        <is>
          <t>NG</t>
        </is>
      </c>
      <c r="R59" s="5" t="inlineStr">
        <is>
          <t>未確認</t>
        </is>
      </c>
      <c r="S59" s="5" t="inlineStr">
        <is>
          <t>未確認</t>
        </is>
      </c>
      <c r="T59" s="5" t="inlineStr">
        <is>
          <t>あり</t>
        </is>
      </c>
      <c r="U59" s="5" t="inlineStr">
        <is>
          <t>未確認</t>
        </is>
      </c>
      <c r="V59" s="5" t="inlineStr">
        <is>
          <t>要詳細分析</t>
        </is>
      </c>
      <c r="W59" s="5" t="inlineStr">
        <is>
          <t>業歴28年の老舗フリーランスエンジニア専門支援。案件掲載拠点600以上を訴求。確定率・EPCとも非表示</t>
        </is>
      </c>
      <c r="X59" s="5" t="inlineStr">
        <is>
          <t>済（写真から入力、確定率・EPCデータなし、一部文言判読困難）</t>
        </is>
      </c>
      <c r="Y59" s="5" t="inlineStr">
        <is>
          <t>A8.netプログラム詳細画面（ユーザー提供スクリーンショット）</t>
        </is>
      </c>
      <c r="Z59" s="5" t="inlineStr">
        <is>
          <t>2026-09-05</t>
        </is>
      </c>
      <c r="AA59" s="5" t="inlineStr">
        <is>
          <t>s00000025229001</t>
        </is>
      </c>
    </row>
    <row r="60">
      <c r="A60" s="5" t="n">
        <v>59</v>
      </c>
      <c r="B60" s="5" t="inlineStr">
        <is>
          <t>サスキャリ（ESGサステナビリティ専門転職エージェント）</t>
        </is>
      </c>
      <c r="C60" s="5" t="inlineStr">
        <is>
          <t>株式会社サスキャリ</t>
        </is>
      </c>
      <c r="D60" s="5" t="inlineStr">
        <is>
          <t>専門職(ESG・サステナビリティ)</t>
        </is>
      </c>
      <c r="E60" s="5" t="inlineStr">
        <is>
          <t>ESGサステナビリティ領域に関心のある転職希望者</t>
        </is>
      </c>
      <c r="F60" s="6" t="n">
        <v>10000</v>
      </c>
      <c r="G60" s="5" t="inlineStr">
        <is>
          <t>新規面談実施完了（転職成功時は別途20,000円の二段階報酬の可能性あり・要確認）</t>
        </is>
      </c>
      <c r="H60" s="5" t="inlineStr">
        <is>
          <t>無料面談実施完了</t>
        </is>
      </c>
      <c r="I60" s="7" t="n"/>
      <c r="J60" s="6" t="n">
        <v>100</v>
      </c>
      <c r="K60" s="8">
        <f>IF(OR(F60="",I60=""),"",F60*I60)</f>
        <v/>
      </c>
      <c r="L60" s="5" t="inlineStr">
        <is>
          <t>90日</t>
        </is>
      </c>
      <c r="M60" s="5" t="inlineStr">
        <is>
          <t>約30日</t>
        </is>
      </c>
      <c r="N60" s="5" t="inlineStr">
        <is>
          <t>広告主新規／WEBより7日以内に無料面談を実施完了</t>
        </is>
      </c>
      <c r="O60" s="5" t="inlineStr">
        <is>
          <t>なりすまし・虚偽の登録／1世帯2回以上の申込／キャンセル／リスティング違反</t>
        </is>
      </c>
      <c r="P60" s="5" t="inlineStr">
        <is>
          <t>NG</t>
        </is>
      </c>
      <c r="Q60" s="5" t="inlineStr">
        <is>
          <t>NG</t>
        </is>
      </c>
      <c r="R60" s="5" t="inlineStr">
        <is>
          <t>未確認</t>
        </is>
      </c>
      <c r="S60" s="5" t="inlineStr">
        <is>
          <t>未確認</t>
        </is>
      </c>
      <c r="T60" s="5" t="inlineStr">
        <is>
          <t>あり</t>
        </is>
      </c>
      <c r="U60" s="5" t="inlineStr">
        <is>
          <t>未確認</t>
        </is>
      </c>
      <c r="V60" s="5" t="inlineStr">
        <is>
          <t>要詳細分析</t>
        </is>
      </c>
      <c r="W60" s="5" t="inlineStr">
        <is>
          <t>ESGサステナビリティ特化という希少性の高いニッチ案件。確定率は非表示。報酬体系（二段階報酬の有無）は要再確認</t>
        </is>
      </c>
      <c r="X60" s="5" t="inlineStr">
        <is>
          <t>済（写真から入力、確定率データなし・報酬体系要再確認）</t>
        </is>
      </c>
      <c r="Y60" s="5" t="inlineStr">
        <is>
          <t>A8.netプログラム詳細画面（ユーザー提供スクリーンショット）</t>
        </is>
      </c>
      <c r="Z60" s="5" t="inlineStr">
        <is>
          <t>2026-09-05</t>
        </is>
      </c>
      <c r="AA60" s="5" t="inlineStr">
        <is>
          <t>s00000025096001</t>
        </is>
      </c>
    </row>
    <row r="61">
      <c r="A61" s="5" t="n">
        <v>60</v>
      </c>
      <c r="B61" s="5" t="inlineStr">
        <is>
          <t>キッカケエージェント（IT/Webエンジニア特化）</t>
        </is>
      </c>
      <c r="C61" s="5" t="inlineStr">
        <is>
          <t>株式会社キッカケエージェンシー</t>
        </is>
      </c>
      <c r="D61" s="5" t="inlineStr">
        <is>
          <t>IT(未経験可)</t>
        </is>
      </c>
      <c r="E61" s="5" t="inlineStr">
        <is>
          <t>18歳以上、ITエンジニア・20代未経験からのキャリアチェンジ層</t>
        </is>
      </c>
      <c r="F61" s="6" t="n">
        <v>10000</v>
      </c>
      <c r="G61" s="5" t="inlineStr">
        <is>
          <t>新規キャリア相談</t>
        </is>
      </c>
      <c r="H61" s="5" t="inlineStr">
        <is>
          <t>キャリア相談完了</t>
        </is>
      </c>
      <c r="I61" s="7" t="n">
        <v>0.4545</v>
      </c>
      <c r="J61" s="6" t="n">
        <v>14.2</v>
      </c>
      <c r="K61" s="8">
        <f>IF(OR(F61="",I61=""),"",F61*I61)</f>
        <v/>
      </c>
      <c r="L61" s="5" t="inlineStr">
        <is>
          <t>90日</t>
        </is>
      </c>
      <c r="M61" s="5" t="inlineStr">
        <is>
          <t>約30日</t>
        </is>
      </c>
      <c r="N61" s="5" t="inlineStr">
        <is>
          <t>広告主新規／WEBより30日以内のキャリア相談完了／18歳以上</t>
        </is>
      </c>
      <c r="O61" s="5" t="inlineStr">
        <is>
          <t>キャンセル・重複・入力不備・なりすまし／50歳以上からの申込／1世帯2回以上の申込／リスティング違反</t>
        </is>
      </c>
      <c r="P61" s="5" t="inlineStr">
        <is>
          <t>NG</t>
        </is>
      </c>
      <c r="Q61" s="5" t="inlineStr">
        <is>
          <t>NG</t>
        </is>
      </c>
      <c r="R61" s="5" t="inlineStr">
        <is>
          <t>未確認</t>
        </is>
      </c>
      <c r="S61" s="5" t="inlineStr">
        <is>
          <t>未確認</t>
        </is>
      </c>
      <c r="T61" s="5" t="inlineStr">
        <is>
          <t>あり</t>
        </is>
      </c>
      <c r="U61" s="5" t="inlineStr">
        <is>
          <t>未確認</t>
        </is>
      </c>
      <c r="V61" s="5" t="inlineStr">
        <is>
          <t>要詳細分析</t>
        </is>
      </c>
      <c r="W61" s="5" t="inlineStr">
        <is>
          <t>確定率45.45%だがEPC14.2円と低め。IT未経験のキャリアチェンジ層向け</t>
        </is>
      </c>
      <c r="X61" s="5" t="inlineStr">
        <is>
          <t>済（写真から入力）</t>
        </is>
      </c>
      <c r="Y61" s="5" t="inlineStr">
        <is>
          <t>A8.netプログラム詳細画面（ユーザー提供スクリーンショット）</t>
        </is>
      </c>
      <c r="Z61" s="5" t="inlineStr">
        <is>
          <t>2026-09-05</t>
        </is>
      </c>
      <c r="AA61" s="5" t="inlineStr">
        <is>
          <t>s00000024500001</t>
        </is>
      </c>
    </row>
    <row r="62">
      <c r="A62" s="5" t="n">
        <v>61</v>
      </c>
      <c r="B62" s="5" t="inlineStr">
        <is>
          <t>EDBエージェント（ITエンジニア特化型転職支援）</t>
        </is>
      </c>
      <c r="C62" s="5" t="inlineStr">
        <is>
          <t>KICK_ZA_ISSUE株式会社</t>
        </is>
      </c>
      <c r="D62" s="5" t="inlineStr">
        <is>
          <t>IT(未経験〜経験者)</t>
        </is>
      </c>
      <c r="E62" s="5" t="inlineStr">
        <is>
          <t>大学卒業以上、国内在住</t>
        </is>
      </c>
      <c r="F62" s="6" t="n">
        <v>10000</v>
      </c>
      <c r="G62" s="5" t="inlineStr">
        <is>
          <t>新規無料相談実施</t>
        </is>
      </c>
      <c r="H62" s="5" t="inlineStr">
        <is>
          <t>無料相談実施完了</t>
        </is>
      </c>
      <c r="I62" s="7" t="n"/>
      <c r="J62" s="6" t="n"/>
      <c r="K62" s="8">
        <f>IF(OR(F62="",I62=""),"",F62*I62)</f>
        <v/>
      </c>
      <c r="L62" s="5" t="inlineStr">
        <is>
          <t>90日</t>
        </is>
      </c>
      <c r="M62" s="5" t="inlineStr">
        <is>
          <t>約30日</t>
        </is>
      </c>
      <c r="N62" s="5" t="inlineStr">
        <is>
          <t>広告主新規／WEBより30日以内にキャリア相談を実施完了／大学卒業以上・国内在住</t>
        </is>
      </c>
      <c r="O62" s="5" t="inlineStr">
        <is>
          <t>不正・虚偽・悪戯・重複・キャンセル／お問い合わせ経由の申込／リスティング違反</t>
        </is>
      </c>
      <c r="P62" s="5" t="inlineStr">
        <is>
          <t>NG</t>
        </is>
      </c>
      <c r="Q62" s="5" t="inlineStr">
        <is>
          <t>NG</t>
        </is>
      </c>
      <c r="R62" s="5" t="inlineStr">
        <is>
          <t>未確認</t>
        </is>
      </c>
      <c r="S62" s="5" t="inlineStr">
        <is>
          <t>未確認</t>
        </is>
      </c>
      <c r="T62" s="5" t="inlineStr">
        <is>
          <t>あり</t>
        </is>
      </c>
      <c r="U62" s="5" t="inlineStr">
        <is>
          <t>未確認</t>
        </is>
      </c>
      <c r="V62" s="5" t="inlineStr">
        <is>
          <t>要詳細分析</t>
        </is>
      </c>
      <c r="W62" s="5" t="inlineStr">
        <is>
          <t>国内最大級を謳うITエンジニアプラットフォーム「EDB」運営。OB/OGによる1on1サポートを訴求。確定率・EPCとも非表示</t>
        </is>
      </c>
      <c r="X62" s="5" t="inlineStr">
        <is>
          <t>済（写真から入力、確定率・EPCデータなし）</t>
        </is>
      </c>
      <c r="Y62" s="5" t="inlineStr">
        <is>
          <t>A8.netプログラム詳細画面（ユーザー提供スクリーンショット）</t>
        </is>
      </c>
      <c r="Z62" s="5" t="inlineStr">
        <is>
          <t>2026-09-05</t>
        </is>
      </c>
      <c r="AA62" s="5" t="inlineStr">
        <is>
          <t>s00000024182004</t>
        </is>
      </c>
    </row>
    <row r="63">
      <c r="A63" s="5" t="n">
        <v>62</v>
      </c>
      <c r="B63" s="5" t="inlineStr">
        <is>
          <t>CDBエージェント（コンサルタント特化型転職支援）</t>
        </is>
      </c>
      <c r="C63" s="5" t="inlineStr">
        <is>
          <t>KICK_ZA_ISSUE株式会社</t>
        </is>
      </c>
      <c r="D63" s="5" t="inlineStr">
        <is>
          <t>専門職(コンサルタント)</t>
        </is>
      </c>
      <c r="E63" s="5" t="inlineStr">
        <is>
          <t>半年以内の転職希望者、ファーム勤務経験者</t>
        </is>
      </c>
      <c r="F63" s="6" t="n">
        <v>10000</v>
      </c>
      <c r="G63" s="5" t="inlineStr">
        <is>
          <t>新規無料相談実施</t>
        </is>
      </c>
      <c r="H63" s="5" t="inlineStr">
        <is>
          <t>無料相談実施完了</t>
        </is>
      </c>
      <c r="I63" s="7" t="n">
        <v>1</v>
      </c>
      <c r="J63" s="6" t="n"/>
      <c r="K63" s="8">
        <f>IF(OR(F63="",I63=""),"",F63*I63)</f>
        <v/>
      </c>
      <c r="L63" s="5" t="inlineStr">
        <is>
          <t>90日</t>
        </is>
      </c>
      <c r="M63" s="5" t="inlineStr">
        <is>
          <t>約30日</t>
        </is>
      </c>
      <c r="N63" s="5" t="inlineStr">
        <is>
          <t>広告主新規／WEBより30日以内にキャリア相談を実施完了</t>
        </is>
      </c>
      <c r="O63" s="5" t="inlineStr">
        <is>
          <t>不正・虚偽・悪戯・重複・キャンセル／1世帯2回以上の申込／リスティング違反</t>
        </is>
      </c>
      <c r="P63" s="5" t="inlineStr">
        <is>
          <t>NG</t>
        </is>
      </c>
      <c r="Q63" s="5" t="inlineStr">
        <is>
          <t>NG</t>
        </is>
      </c>
      <c r="R63" s="5" t="inlineStr">
        <is>
          <t>未確認</t>
        </is>
      </c>
      <c r="S63" s="5" t="inlineStr">
        <is>
          <t>未確認</t>
        </is>
      </c>
      <c r="T63" s="5" t="inlineStr">
        <is>
          <t>あり</t>
        </is>
      </c>
      <c r="U63" s="5" t="inlineStr">
        <is>
          <t>未確認</t>
        </is>
      </c>
      <c r="V63" s="5" t="inlineStr">
        <is>
          <t>要詳細分析</t>
        </is>
      </c>
      <c r="W63" s="5" t="inlineStr">
        <is>
          <t>コンサル特化型プラットフォーム「CDB」運営。確定率100%表示だがEPCは非表示のため到達数の実態は不明</t>
        </is>
      </c>
      <c r="X63" s="5" t="inlineStr">
        <is>
          <t>済（写真から入力、EPCデータなし）</t>
        </is>
      </c>
      <c r="Y63" s="5" t="inlineStr">
        <is>
          <t>A8.netプログラム詳細画面（ユーザー提供スクリーンショット）</t>
        </is>
      </c>
      <c r="Z63" s="5" t="inlineStr">
        <is>
          <t>2026-09-05</t>
        </is>
      </c>
      <c r="AA63" s="5" t="inlineStr">
        <is>
          <t>s00000024182003</t>
        </is>
      </c>
    </row>
    <row r="64">
      <c r="A64" s="5" t="n">
        <v>63</v>
      </c>
      <c r="B64" s="5" t="inlineStr">
        <is>
          <t>ヒュープロ（税理士・経理特化の転職エージェント）</t>
        </is>
      </c>
      <c r="C64" s="5" t="inlineStr">
        <is>
          <t>株式会社ヒュープロ</t>
        </is>
      </c>
      <c r="D64" s="5" t="inlineStr">
        <is>
          <t>専門職(税理士・経理・管理部門)</t>
        </is>
      </c>
      <c r="E64" s="5" t="inlineStr">
        <is>
          <t>士業・管理部門（税理士・会計士・経理・CFO等）</t>
        </is>
      </c>
      <c r="F64" s="6" t="n">
        <v>10000</v>
      </c>
      <c r="G64" s="5" t="inlineStr">
        <is>
          <t>新規無料会員登録</t>
        </is>
      </c>
      <c r="H64" s="5" t="inlineStr">
        <is>
          <t>会員登録完了（電話確認完了）</t>
        </is>
      </c>
      <c r="I64" s="7" t="n">
        <v>0.7386</v>
      </c>
      <c r="J64" s="6" t="n">
        <v>253</v>
      </c>
      <c r="K64" s="8">
        <f>IF(OR(F64="",I64=""),"",F64*I64)</f>
        <v/>
      </c>
      <c r="L64" s="5" t="inlineStr">
        <is>
          <t>90日（初回のみ）</t>
        </is>
      </c>
      <c r="M64" s="5" t="inlineStr">
        <is>
          <t>約20日</t>
        </is>
      </c>
      <c r="N64" s="5" t="inlineStr">
        <is>
          <t>広告主新規／WEBより会員登録完了、電話による本人確認完了</t>
        </is>
      </c>
      <c r="O64" s="5" t="inlineStr">
        <is>
          <t>キャンセル・不正・いたずら／対象外資格・年齢の申込／リスティング違反</t>
        </is>
      </c>
      <c r="P64" s="5" t="inlineStr">
        <is>
          <t>NG</t>
        </is>
      </c>
      <c r="Q64" s="5" t="inlineStr">
        <is>
          <t>NG</t>
        </is>
      </c>
      <c r="R64" s="5" t="inlineStr">
        <is>
          <t>未確認</t>
        </is>
      </c>
      <c r="S64" s="5" t="inlineStr">
        <is>
          <t>未確認</t>
        </is>
      </c>
      <c r="T64" s="5" t="inlineStr">
        <is>
          <t>あり</t>
        </is>
      </c>
      <c r="U64" s="5" t="inlineStr">
        <is>
          <t>未確認</t>
        </is>
      </c>
      <c r="V64" s="5" t="inlineStr">
        <is>
          <t>要詳細分析</t>
        </is>
      </c>
      <c r="W64" s="5" t="inlineStr">
        <is>
          <t>士業・管理部門特化で業界最大級の求人数を訴求。確定率73.86%・EPC253円、確定目安が約20日と他案件より短い</t>
        </is>
      </c>
      <c r="X64" s="5" t="inlineStr">
        <is>
          <t>済（写真から入力、一部条件文言判読困難）</t>
        </is>
      </c>
      <c r="Y64" s="5" t="inlineStr">
        <is>
          <t>A8.netプログラム詳細画面（ユーザー提供スクリーンショット）</t>
        </is>
      </c>
      <c r="Z64" s="5" t="inlineStr">
        <is>
          <t>2026-09-05</t>
        </is>
      </c>
      <c r="AA64" s="5" t="inlineStr">
        <is>
          <t>s00000023602001</t>
        </is>
      </c>
    </row>
    <row r="65">
      <c r="A65" s="5" t="n">
        <v>64</v>
      </c>
      <c r="B65" s="5" t="inlineStr">
        <is>
          <t>アカリク就職エージェント（大学院生・ポスドク特化）</t>
        </is>
      </c>
      <c r="C65" s="5" t="inlineStr">
        <is>
          <t>株式会社アカリク</t>
        </is>
      </c>
      <c r="D65" s="5" t="inlineStr">
        <is>
          <t>新卒・研究職(大学院生・ポスドク)</t>
        </is>
      </c>
      <c r="E65" s="5" t="inlineStr">
        <is>
          <t>26歳以上の大学院生またはポスドク、2026年卒予定</t>
        </is>
      </c>
      <c r="F65" s="6" t="n">
        <v>10000</v>
      </c>
      <c r="G65" s="5" t="inlineStr">
        <is>
          <t>新規面談実施</t>
        </is>
      </c>
      <c r="H65" s="5" t="inlineStr">
        <is>
          <t>オンライン面談完了</t>
        </is>
      </c>
      <c r="I65" s="7" t="n">
        <v>1</v>
      </c>
      <c r="J65" s="6" t="n"/>
      <c r="K65" s="8">
        <f>IF(OR(F65="",I65=""),"",F65*I65)</f>
        <v/>
      </c>
      <c r="L65" s="5" t="inlineStr">
        <is>
          <t>30日</t>
        </is>
      </c>
      <c r="M65" s="5" t="inlineStr">
        <is>
          <t>約30日</t>
        </is>
      </c>
      <c r="N65" s="5" t="inlineStr">
        <is>
          <t>会員登録完了後、30日以内にオンライン面談完了／26歳以上の大学院生・ポスドク</t>
        </is>
      </c>
      <c r="O65" s="5" t="inlineStr">
        <is>
          <t>学生証提示不可・不正・入力不備／個人情報不備／リスティング違反</t>
        </is>
      </c>
      <c r="P65" s="5" t="inlineStr">
        <is>
          <t>NG</t>
        </is>
      </c>
      <c r="Q65" s="5" t="inlineStr">
        <is>
          <t>NG</t>
        </is>
      </c>
      <c r="R65" s="5" t="inlineStr">
        <is>
          <t>未確認</t>
        </is>
      </c>
      <c r="S65" s="5" t="inlineStr">
        <is>
          <t>未確認</t>
        </is>
      </c>
      <c r="T65" s="5" t="inlineStr">
        <is>
          <t>あり</t>
        </is>
      </c>
      <c r="U65" s="5" t="inlineStr">
        <is>
          <t>未確認</t>
        </is>
      </c>
      <c r="V65" s="5" t="inlineStr">
        <is>
          <t>要詳細分析</t>
        </is>
      </c>
      <c r="W65" s="5" t="inlineStr">
        <is>
          <t>研究職特化の希少なニッチ案件。確定率100%表示。15年以上の研究人材キャリア支援実績を訴求</t>
        </is>
      </c>
      <c r="X65" s="5" t="inlineStr">
        <is>
          <t>済（写真から入力、EPCデータなし）</t>
        </is>
      </c>
      <c r="Y65" s="5" t="inlineStr">
        <is>
          <t>A8.netプログラム詳細画面（ユーザー提供スクリーンショット）</t>
        </is>
      </c>
      <c r="Z65" s="5" t="inlineStr">
        <is>
          <t>2026-09-05</t>
        </is>
      </c>
      <c r="AA65" s="5" t="inlineStr">
        <is>
          <t>s00000023028003</t>
        </is>
      </c>
    </row>
    <row r="66">
      <c r="A66" s="5" t="n">
        <v>65</v>
      </c>
      <c r="B66" s="5" t="inlineStr">
        <is>
          <t>Midworks（フリーランスエンジニア案件紹介）</t>
        </is>
      </c>
      <c r="C66" s="5" t="inlineStr">
        <is>
          <t>株式会社TWOSTONE&amp;Sons</t>
        </is>
      </c>
      <c r="D66" s="5" t="inlineStr">
        <is>
          <t>IT(フリーランスエンジニア)</t>
        </is>
      </c>
      <c r="E66" s="5" t="inlineStr">
        <is>
          <t>フリーランスまたはフリーランス志望のエンジニア</t>
        </is>
      </c>
      <c r="F66" s="6" t="n">
        <v>10000</v>
      </c>
      <c r="G66" s="5" t="inlineStr">
        <is>
          <t>新規登録</t>
        </is>
      </c>
      <c r="H66" s="5" t="inlineStr">
        <is>
          <t>新規登録完了</t>
        </is>
      </c>
      <c r="I66" s="7" t="n">
        <v>0.5466</v>
      </c>
      <c r="J66" s="6" t="n">
        <v>52.02</v>
      </c>
      <c r="K66" s="8">
        <f>IF(OR(F66="",I66=""),"",F66*I66)</f>
        <v/>
      </c>
      <c r="L66" s="5" t="inlineStr">
        <is>
          <t>90日</t>
        </is>
      </c>
      <c r="M66" s="5" t="inlineStr">
        <is>
          <t>約30日</t>
        </is>
      </c>
      <c r="N66" s="5" t="inlineStr">
        <is>
          <t>広告主新規／WEBより新規登録完了</t>
        </is>
      </c>
      <c r="O66" s="5" t="inlineStr">
        <is>
          <t>1世帯2回以上の申込／30日以内に本人確認が取れない場合／虚偽・重複・入力不備・いたずら／学生・フリーターの登録／リスティング違反</t>
        </is>
      </c>
      <c r="P66" s="5" t="inlineStr">
        <is>
          <t>NG</t>
        </is>
      </c>
      <c r="Q66" s="5" t="inlineStr">
        <is>
          <t>NG</t>
        </is>
      </c>
      <c r="R66" s="5" t="inlineStr">
        <is>
          <t>未確認</t>
        </is>
      </c>
      <c r="S66" s="5" t="inlineStr">
        <is>
          <t>未確認</t>
        </is>
      </c>
      <c r="T66" s="5" t="inlineStr">
        <is>
          <t>あり</t>
        </is>
      </c>
      <c r="U66" s="5" t="inlineStr">
        <is>
          <t>未確認</t>
        </is>
      </c>
      <c r="V66" s="5" t="inlineStr">
        <is>
          <t>要詳細分析</t>
        </is>
      </c>
      <c r="W66" s="5" t="inlineStr">
        <is>
          <t>給与保証制度・税理士紹介等の副次サポートが差別化ポイント。確定率54.66%・EPC52円</t>
        </is>
      </c>
      <c r="X66" s="5" t="inlineStr">
        <is>
          <t>済（写真から入力）</t>
        </is>
      </c>
      <c r="Y66" s="5" t="inlineStr">
        <is>
          <t>A8.netプログラム詳細画面（ユーザー提供スクリーンショット）</t>
        </is>
      </c>
      <c r="Z66" s="5" t="inlineStr">
        <is>
          <t>2026-09-05</t>
        </is>
      </c>
      <c r="AA66" s="5" t="inlineStr">
        <is>
          <t>s0000017868002</t>
        </is>
      </c>
    </row>
    <row r="67">
      <c r="A67" s="5" t="n">
        <v>66</v>
      </c>
      <c r="B67" s="5" t="inlineStr">
        <is>
          <t>TechClipsエージェント（ITエンジニア転職）</t>
        </is>
      </c>
      <c r="C67" s="5" t="inlineStr">
        <is>
          <t>notar株式会社</t>
        </is>
      </c>
      <c r="D67" s="5" t="inlineStr">
        <is>
          <t>IT</t>
        </is>
      </c>
      <c r="E67" s="5" t="inlineStr">
        <is>
          <t>ITエンジニア</t>
        </is>
      </c>
      <c r="F67" s="6" t="n">
        <v>10000</v>
      </c>
      <c r="G67" s="5" t="inlineStr">
        <is>
          <t>新規面談</t>
        </is>
      </c>
      <c r="H67" s="5" t="inlineStr">
        <is>
          <t>キャリアカウンセリング完了</t>
        </is>
      </c>
      <c r="I67" s="7" t="n">
        <v>0.6</v>
      </c>
      <c r="J67" s="6" t="n">
        <v>18.35</v>
      </c>
      <c r="K67" s="8">
        <f>IF(OR(F67="",I67=""),"",F67*I67)</f>
        <v/>
      </c>
      <c r="L67" s="5" t="inlineStr">
        <is>
          <t>90日</t>
        </is>
      </c>
      <c r="M67" s="5" t="inlineStr">
        <is>
          <t>約30日</t>
        </is>
      </c>
      <c r="N67" s="5" t="inlineStr">
        <is>
          <t>広告主新規／WEBより会員登録完了、30日以内にキャリアカウンセリング完了</t>
        </is>
      </c>
      <c r="O67" s="5" t="inlineStr">
        <is>
          <t>転職を希望していない場合／リスティング違反</t>
        </is>
      </c>
      <c r="P67" s="5" t="inlineStr">
        <is>
          <t>NG</t>
        </is>
      </c>
      <c r="Q67" s="5" t="inlineStr">
        <is>
          <t>NG</t>
        </is>
      </c>
      <c r="R67" s="5" t="inlineStr">
        <is>
          <t>未確認</t>
        </is>
      </c>
      <c r="S67" s="5" t="inlineStr">
        <is>
          <t>未確認</t>
        </is>
      </c>
      <c r="T67" s="5" t="inlineStr">
        <is>
          <t>あり</t>
        </is>
      </c>
      <c r="U67" s="5" t="inlineStr">
        <is>
          <t>未確認</t>
        </is>
      </c>
      <c r="V67" s="5" t="inlineStr">
        <is>
          <t>要詳細分析</t>
        </is>
      </c>
      <c r="W67" s="5" t="inlineStr">
        <is>
          <t>現役エンジニアが担当し転職成功率93%を訴求。確定率60%だがEPC18.35円と到達率は低め</t>
        </is>
      </c>
      <c r="X67" s="5" t="inlineStr">
        <is>
          <t>済（写真から入力）</t>
        </is>
      </c>
      <c r="Y67" s="5" t="inlineStr">
        <is>
          <t>A8.netプログラム詳細画面（ユーザー提供スクリーンショット）</t>
        </is>
      </c>
      <c r="Z67" s="5" t="inlineStr">
        <is>
          <t>2026-09-05</t>
        </is>
      </c>
      <c r="AA67" s="5" t="inlineStr">
        <is>
          <t>s00000017743001</t>
        </is>
      </c>
    </row>
    <row r="68">
      <c r="A68" s="5" t="n">
        <v>67</v>
      </c>
      <c r="B68" s="5" t="inlineStr">
        <is>
          <t>DYM就職（第二新卒・既卒・フリーター向け）</t>
        </is>
      </c>
      <c r="C68" s="5" t="inlineStr">
        <is>
          <t>株式会社DYM</t>
        </is>
      </c>
      <c r="D68" s="5" t="inlineStr">
        <is>
          <t>第二新卒・既卒・フリーター</t>
        </is>
      </c>
      <c r="E68" s="5" t="inlineStr">
        <is>
          <t>18〜33歳前後、大学生・既卒・フリーター等</t>
        </is>
      </c>
      <c r="F68" s="6" t="n">
        <v>5287</v>
      </c>
      <c r="G68" s="5" t="inlineStr">
        <is>
          <t>新規登録</t>
        </is>
      </c>
      <c r="H68" s="5" t="inlineStr">
        <is>
          <t>会員登録完了</t>
        </is>
      </c>
      <c r="I68" s="7" t="n"/>
      <c r="J68" s="6" t="n"/>
      <c r="K68" s="8">
        <f>IF(OR(F68="",I68=""),"",F68*I68)</f>
        <v/>
      </c>
      <c r="L68" s="5" t="inlineStr">
        <is>
          <t>90日（初回のみ）</t>
        </is>
      </c>
      <c r="M68" s="5" t="inlineStr">
        <is>
          <t>約30日</t>
        </is>
      </c>
      <c r="N68" s="5" t="inlineStr">
        <is>
          <t>広告主新規／WEBより会員登録完了</t>
        </is>
      </c>
      <c r="O68" s="5" t="inlineStr">
        <is>
          <t>入力不備・キャンセル／内容に不一致がある場合／リスティング違反</t>
        </is>
      </c>
      <c r="P68" s="5" t="inlineStr">
        <is>
          <t>NG</t>
        </is>
      </c>
      <c r="Q68" s="5" t="inlineStr">
        <is>
          <t>NG</t>
        </is>
      </c>
      <c r="R68" s="5" t="inlineStr">
        <is>
          <t>未確認</t>
        </is>
      </c>
      <c r="S68" s="5" t="inlineStr">
        <is>
          <t>未確認</t>
        </is>
      </c>
      <c r="T68" s="5" t="inlineStr">
        <is>
          <t>あり</t>
        </is>
      </c>
      <c r="U68" s="5" t="inlineStr">
        <is>
          <t>未確認</t>
        </is>
      </c>
      <c r="V68" s="5" t="inlineStr">
        <is>
          <t>要詳細分析</t>
        </is>
      </c>
      <c r="W68" s="5" t="inlineStr">
        <is>
          <t>書類選考なし・平均1週間で内定を訴求。報酬5,287円は全体でも低い部類。確定率・EPCとも非表示</t>
        </is>
      </c>
      <c r="X68" s="5" t="inlineStr">
        <is>
          <t>済（写真から入力、プログラムID要確認、確定率・EPCデータなし）</t>
        </is>
      </c>
      <c r="Y68" s="5" t="inlineStr">
        <is>
          <t>A8.netプログラム詳細画面（ユーザー提供スクリーンショット）</t>
        </is>
      </c>
      <c r="Z68" s="5" t="inlineStr">
        <is>
          <t>2026-09-05</t>
        </is>
      </c>
      <c r="AA68" s="5" t="inlineStr">
        <is>
          <t>未確認（画像不鮮明）</t>
        </is>
      </c>
    </row>
    <row r="69">
      <c r="A69" s="5" t="n">
        <v>68</v>
      </c>
      <c r="B69" s="5" t="inlineStr">
        <is>
          <t>ホワイトアカデミー（20代特化・転職成功保証付き）</t>
        </is>
      </c>
      <c r="C69" s="5" t="inlineStr">
        <is>
          <t>Avalon_Consulting株式会社</t>
        </is>
      </c>
      <c r="D69" s="5" t="inlineStr">
        <is>
          <t>未経験・一般(20代)</t>
        </is>
      </c>
      <c r="E69" s="5" t="inlineStr">
        <is>
          <t>21〜29歳の若手社会人</t>
        </is>
      </c>
      <c r="F69" s="6" t="n">
        <v>11000</v>
      </c>
      <c r="G69" s="5" t="inlineStr">
        <is>
          <t>新規無料相談参加確定</t>
        </is>
      </c>
      <c r="H69" s="5" t="inlineStr">
        <is>
          <t>無料相談参加完了</t>
        </is>
      </c>
      <c r="I69" s="7" t="n"/>
      <c r="J69" s="6" t="n">
        <v>70.95999999999999</v>
      </c>
      <c r="K69" s="8">
        <f>IF(OR(F69="",I69=""),"",F69*I69)</f>
        <v/>
      </c>
      <c r="L69" s="5" t="inlineStr">
        <is>
          <t>90日（初回のみ）</t>
        </is>
      </c>
      <c r="M69" s="5" t="inlineStr">
        <is>
          <t>約30日</t>
        </is>
      </c>
      <c r="N69" s="5" t="inlineStr">
        <is>
          <t>広告主新規／WEBより30日以内の無料相談参加完了／20代社会人</t>
        </is>
      </c>
      <c r="O69" s="5" t="inlineStr">
        <is>
          <t>重複・虚偽・申込不備／海外在住の場合／リスティング違反</t>
        </is>
      </c>
      <c r="P69" s="5" t="inlineStr">
        <is>
          <t>NG</t>
        </is>
      </c>
      <c r="Q69" s="5" t="inlineStr">
        <is>
          <t>NG</t>
        </is>
      </c>
      <c r="R69" s="5" t="inlineStr">
        <is>
          <t>未確認</t>
        </is>
      </c>
      <c r="S69" s="5" t="inlineStr">
        <is>
          <t>未確認</t>
        </is>
      </c>
      <c r="T69" s="5" t="inlineStr">
        <is>
          <t>あり</t>
        </is>
      </c>
      <c r="U69" s="5" t="inlineStr">
        <is>
          <t>未確認</t>
        </is>
      </c>
      <c r="V69" s="5" t="inlineStr">
        <is>
          <t>要詳細分析</t>
        </is>
      </c>
      <c r="W69" s="5" t="inlineStr">
        <is>
          <t>以前分析済みの「ホワイトアカデミー」（EPC140円版）とは別プログラムIDで、こちらは「転職成功保証付き」を訴求する版。EPC70.96円で数値が異なるため別行管理</t>
        </is>
      </c>
      <c r="X69" s="5" t="inlineStr">
        <is>
          <t>済（写真から入力、確定率データなし）</t>
        </is>
      </c>
      <c r="Y69" s="5" t="inlineStr">
        <is>
          <t>A8.netプログラム詳細画面（ユーザー提供スクリーンショット）</t>
        </is>
      </c>
      <c r="Z69" s="5" t="inlineStr">
        <is>
          <t>2026-09-05</t>
        </is>
      </c>
      <c r="AA69" s="5" t="inlineStr">
        <is>
          <t>s00000025508005</t>
        </is>
      </c>
    </row>
    <row r="70">
      <c r="A70" s="5" t="n">
        <v>69</v>
      </c>
      <c r="B70" s="5" t="inlineStr">
        <is>
          <t>G-JOBエージェント（ゲーム業界特化）</t>
        </is>
      </c>
      <c r="C70" s="5" t="inlineStr">
        <is>
          <t>株式会社シンクトワイス</t>
        </is>
      </c>
      <c r="D70" s="5" t="inlineStr">
        <is>
          <t>ゲーム業界</t>
        </is>
      </c>
      <c r="E70" s="5" t="inlineStr">
        <is>
          <t>ゲーム業界志望者</t>
        </is>
      </c>
      <c r="F70" s="6" t="n">
        <v>10152</v>
      </c>
      <c r="G70" s="5" t="inlineStr">
        <is>
          <t>新規エントリー</t>
        </is>
      </c>
      <c r="H70" s="5" t="inlineStr">
        <is>
          <t>エントリー・面談完了</t>
        </is>
      </c>
      <c r="I70" s="7" t="n">
        <v>1</v>
      </c>
      <c r="J70" s="6" t="n">
        <v>378.78</v>
      </c>
      <c r="K70" s="8">
        <f>IF(OR(F70="",I70=""),"",F70*I70)</f>
        <v/>
      </c>
      <c r="L70" s="5" t="inlineStr">
        <is>
          <t>90日</t>
        </is>
      </c>
      <c r="M70" s="5" t="inlineStr">
        <is>
          <t>約30日</t>
        </is>
      </c>
      <c r="N70" s="5" t="inlineStr">
        <is>
          <t>広告主新規／WEBよりエントリー後、30日以内の対応完了</t>
        </is>
      </c>
      <c r="O70" s="5" t="inlineStr">
        <is>
          <t>重複・虚偽・申込不備・キャンセル／日本国内以外からの申込／お問い合わせ経由の申込／リスティング違反</t>
        </is>
      </c>
      <c r="P70" s="5" t="inlineStr">
        <is>
          <t>NG</t>
        </is>
      </c>
      <c r="Q70" s="5" t="inlineStr">
        <is>
          <t>NG</t>
        </is>
      </c>
      <c r="R70" s="5" t="inlineStr">
        <is>
          <t>未確認</t>
        </is>
      </c>
      <c r="S70" s="5" t="inlineStr">
        <is>
          <t>未確認</t>
        </is>
      </c>
      <c r="T70" s="5" t="inlineStr">
        <is>
          <t>あり</t>
        </is>
      </c>
      <c r="U70" s="5" t="inlineStr">
        <is>
          <t>未確認</t>
        </is>
      </c>
      <c r="V70" s="5" t="inlineStr">
        <is>
          <t>要詳細分析</t>
        </is>
      </c>
      <c r="W70" s="5" t="inlineStr">
        <is>
          <t>確定率100%・EPC378.78円と高水準。国家資格キャリアコンサルタント在籍を訴求</t>
        </is>
      </c>
      <c r="X70" s="5" t="inlineStr">
        <is>
          <t>済（写真から入力）</t>
        </is>
      </c>
      <c r="Y70" s="5" t="inlineStr">
        <is>
          <t>A8.netプログラム詳細画面（ユーザー提供スクリーンショット）</t>
        </is>
      </c>
      <c r="Z70" s="5" t="inlineStr">
        <is>
          <t>2026-09-05</t>
        </is>
      </c>
      <c r="AA70" s="5" t="inlineStr">
        <is>
          <t>s00000024560001</t>
        </is>
      </c>
    </row>
    <row r="71">
      <c r="A71" s="5" t="n">
        <v>70</v>
      </c>
      <c r="B71" s="5" t="inlineStr">
        <is>
          <t>レバテックキャリア（IT・Web転職サービス）</t>
        </is>
      </c>
      <c r="C71" s="5" t="inlineStr">
        <is>
          <t>レバレジーズ株式会社</t>
        </is>
      </c>
      <c r="D71" s="5" t="inlineStr">
        <is>
          <t>IT(エンジニア・クリエイター)</t>
        </is>
      </c>
      <c r="E71" s="5" t="inlineStr">
        <is>
          <t>エンジニア・クリエイター系職種</t>
        </is>
      </c>
      <c r="F71" s="6" t="n">
        <v>10000</v>
      </c>
      <c r="G71" s="5" t="inlineStr">
        <is>
          <t>新規会員登録</t>
        </is>
      </c>
      <c r="H71" s="5" t="inlineStr">
        <is>
          <t>会員登録完了</t>
        </is>
      </c>
      <c r="I71" s="7" t="n">
        <v>0.746</v>
      </c>
      <c r="J71" s="6" t="n">
        <v>929.12</v>
      </c>
      <c r="K71" s="8">
        <f>IF(OR(F71="",I71=""),"",F71*I71)</f>
        <v/>
      </c>
      <c r="L71" s="5" t="inlineStr">
        <is>
          <t>90日（初回のみ）</t>
        </is>
      </c>
      <c r="M71" s="5" t="inlineStr">
        <is>
          <t>約30日</t>
        </is>
      </c>
      <c r="N71" s="5" t="inlineStr">
        <is>
          <t>広告主新規／WEBより登録完了</t>
        </is>
      </c>
      <c r="O71" s="5" t="inlineStr">
        <is>
          <t>虚偽・重複・入力不備・いたずら／リスティング違反</t>
        </is>
      </c>
      <c r="P71" s="5" t="inlineStr">
        <is>
          <t>NG</t>
        </is>
      </c>
      <c r="Q71" s="5" t="inlineStr">
        <is>
          <t>NG</t>
        </is>
      </c>
      <c r="R71" s="5" t="inlineStr">
        <is>
          <t>未確認</t>
        </is>
      </c>
      <c r="S71" s="5" t="inlineStr">
        <is>
          <t>未確認</t>
        </is>
      </c>
      <c r="T71" s="5" t="inlineStr">
        <is>
          <t>あり</t>
        </is>
      </c>
      <c r="U71" s="5" t="inlineStr">
        <is>
          <t>未確認</t>
        </is>
      </c>
      <c r="V71" s="5" t="inlineStr">
        <is>
          <t>要詳細分析</t>
        </is>
      </c>
      <c r="W71" s="5" t="inlineStr">
        <is>
          <t>確定率74.6%・EPC929円と全体でも上位級。レバレジーズグループの主力IT転職サービス</t>
        </is>
      </c>
      <c r="X71" s="5" t="inlineStr">
        <is>
          <t>済（写真から入力、一部条件文言判読困難）</t>
        </is>
      </c>
      <c r="Y71" s="5" t="inlineStr">
        <is>
          <t>A8.netプログラム詳細画面（ユーザー提供スクリーンショット）</t>
        </is>
      </c>
      <c r="Z71" s="5" t="inlineStr">
        <is>
          <t>2026-09-05</t>
        </is>
      </c>
      <c r="AA71" s="5" t="inlineStr">
        <is>
          <t>s0000011866006</t>
        </is>
      </c>
    </row>
    <row r="72">
      <c r="A72" s="5" t="n">
        <v>71</v>
      </c>
      <c r="B72" s="5" t="inlineStr">
        <is>
          <t>レバテックルーキー（新卒エンジニア専門）</t>
        </is>
      </c>
      <c r="C72" s="5" t="inlineStr">
        <is>
          <t>レバレジーズ株式会社</t>
        </is>
      </c>
      <c r="D72" s="5" t="inlineStr">
        <is>
          <t>新卒(エンジニア)</t>
        </is>
      </c>
      <c r="E72" s="5" t="inlineStr">
        <is>
          <t>26卒・27卒の学生</t>
        </is>
      </c>
      <c r="F72" s="6" t="n">
        <v>10000</v>
      </c>
      <c r="G72" s="5" t="inlineStr">
        <is>
          <t>新規カウンセリング</t>
        </is>
      </c>
      <c r="H72" s="5" t="inlineStr">
        <is>
          <t>カウンセリング予約完了</t>
        </is>
      </c>
      <c r="I72" s="7" t="n">
        <v>0.3305</v>
      </c>
      <c r="J72" s="6" t="n">
        <v>50.88</v>
      </c>
      <c r="K72" s="8">
        <f>IF(OR(F72="",I72=""),"",F72*I72)</f>
        <v/>
      </c>
      <c r="L72" s="5" t="inlineStr">
        <is>
          <t>90日（初回のみ）</t>
        </is>
      </c>
      <c r="M72" s="5" t="inlineStr">
        <is>
          <t>約30日</t>
        </is>
      </c>
      <c r="N72" s="5" t="inlineStr">
        <is>
          <t>広告主新規／WEBよりカウンセリング予約完了／26卒・27卒対象</t>
        </is>
      </c>
      <c r="O72" s="5" t="inlineStr">
        <is>
          <t>就活を終えている場合／虚偽・重複・入力不備／リスティング違反</t>
        </is>
      </c>
      <c r="P72" s="5" t="inlineStr">
        <is>
          <t>NG</t>
        </is>
      </c>
      <c r="Q72" s="5" t="inlineStr">
        <is>
          <t>NG</t>
        </is>
      </c>
      <c r="R72" s="5" t="inlineStr">
        <is>
          <t>未確認</t>
        </is>
      </c>
      <c r="S72" s="5" t="inlineStr">
        <is>
          <t>未確認</t>
        </is>
      </c>
      <c r="T72" s="5" t="inlineStr">
        <is>
          <t>あり</t>
        </is>
      </c>
      <c r="U72" s="5" t="inlineStr">
        <is>
          <t>未確認</t>
        </is>
      </c>
      <c r="V72" s="5" t="inlineStr">
        <is>
          <t>要詳細分析</t>
        </is>
      </c>
      <c r="W72" s="5" t="inlineStr">
        <is>
          <t>新卒エンジニア専門の就活サポート。確定率33.05%・EPC50.88円</t>
        </is>
      </c>
      <c r="X72" s="5" t="inlineStr">
        <is>
          <t>済（写真から入力、プログラムID要確認）</t>
        </is>
      </c>
      <c r="Y72" s="5" t="inlineStr">
        <is>
          <t>A8.netプログラム詳細画面（ユーザー提供スクリーンショット）</t>
        </is>
      </c>
      <c r="Z72" s="5" t="inlineStr">
        <is>
          <t>2026-09-05</t>
        </is>
      </c>
      <c r="AA72" s="5" t="inlineStr">
        <is>
          <t>未確認（画像不鮮明）</t>
        </is>
      </c>
    </row>
    <row r="73">
      <c r="A73" s="5" t="n">
        <v>72</v>
      </c>
      <c r="B73" s="5" t="inlineStr">
        <is>
          <t>レバテックダイレクト（IT・Webスカウト型転職）</t>
        </is>
      </c>
      <c r="C73" s="5" t="inlineStr">
        <is>
          <t>レバレジーズ株式会社</t>
        </is>
      </c>
      <c r="D73" s="5" t="inlineStr">
        <is>
          <t>IT(エンジニア・クリエイター)</t>
        </is>
      </c>
      <c r="E73" s="5" t="inlineStr">
        <is>
          <t>エンジニア・クリエイター経験者</t>
        </is>
      </c>
      <c r="F73" s="6" t="n">
        <v>10000</v>
      </c>
      <c r="G73" s="5" t="inlineStr">
        <is>
          <t>新規登録</t>
        </is>
      </c>
      <c r="H73" s="5" t="inlineStr">
        <is>
          <t>新規登録完了</t>
        </is>
      </c>
      <c r="I73" s="7" t="n">
        <v>1</v>
      </c>
      <c r="J73" s="6" t="n">
        <v>27.73</v>
      </c>
      <c r="K73" s="8">
        <f>IF(OR(F73="",I73=""),"",F73*I73)</f>
        <v/>
      </c>
      <c r="L73" s="5" t="inlineStr">
        <is>
          <t>90日（初回のみ）</t>
        </is>
      </c>
      <c r="M73" s="5" t="inlineStr">
        <is>
          <t>約30日</t>
        </is>
      </c>
      <c r="N73" s="5" t="inlineStr">
        <is>
          <t>広告主新規／WEBより登録完了</t>
        </is>
      </c>
      <c r="O73" s="5" t="inlineStr">
        <is>
          <t>50歳以上の申込／虚偽・重複・キャンセル・不正／直近登録企業への重複登録の場合／リスティング違反</t>
        </is>
      </c>
      <c r="P73" s="5" t="inlineStr">
        <is>
          <t>NG</t>
        </is>
      </c>
      <c r="Q73" s="5" t="inlineStr">
        <is>
          <t>NG</t>
        </is>
      </c>
      <c r="R73" s="5" t="inlineStr">
        <is>
          <t>未確認</t>
        </is>
      </c>
      <c r="S73" s="5" t="inlineStr">
        <is>
          <t>未確認</t>
        </is>
      </c>
      <c r="T73" s="5" t="inlineStr">
        <is>
          <t>あり</t>
        </is>
      </c>
      <c r="U73" s="5" t="inlineStr">
        <is>
          <t>未確認</t>
        </is>
      </c>
      <c r="V73" s="5" t="inlineStr">
        <is>
          <t>要詳細分析</t>
        </is>
      </c>
      <c r="W73" s="5" t="inlineStr">
        <is>
          <t>スカウト型で「面接確約スカウト93%」を訴求。確定率100%だがEPC27.73円と到達率は低め</t>
        </is>
      </c>
      <c r="X73" s="5" t="inlineStr">
        <is>
          <t>済（写真から入力）</t>
        </is>
      </c>
      <c r="Y73" s="5" t="inlineStr">
        <is>
          <t>A8.netプログラム詳細画面（ユーザー提供スクリーンショット）</t>
        </is>
      </c>
      <c r="Z73" s="5" t="inlineStr">
        <is>
          <t>2026-09-05</t>
        </is>
      </c>
      <c r="AA73" s="5" t="inlineStr">
        <is>
          <t>s00000011866029</t>
        </is>
      </c>
    </row>
    <row r="74">
      <c r="A74" s="5" t="n">
        <v>73</v>
      </c>
      <c r="B74" s="5" t="inlineStr">
        <is>
          <t>AXIS Agent（コンサル・IT業界ハイクラス特化）</t>
        </is>
      </c>
      <c r="C74" s="5" t="inlineStr">
        <is>
          <t>アクシスコンサルティング株式会社</t>
        </is>
      </c>
      <c r="D74" s="5" t="inlineStr">
        <is>
          <t>専門職(コンサル)</t>
        </is>
      </c>
      <c r="E74" s="5" t="inlineStr">
        <is>
          <t>20〜30代、コンサル・IT業界志望者</t>
        </is>
      </c>
      <c r="F74" s="6" t="n">
        <v>18000</v>
      </c>
      <c r="G74" s="5" t="inlineStr">
        <is>
          <t>新規キャリア相談</t>
        </is>
      </c>
      <c r="H74" s="5" t="inlineStr">
        <is>
          <t>キャリア相談完了</t>
        </is>
      </c>
      <c r="I74" s="7" t="n">
        <v>0.6153</v>
      </c>
      <c r="J74" s="6" t="n">
        <v>12.77</v>
      </c>
      <c r="K74" s="8">
        <f>IF(OR(F74="",I74=""),"",F74*I74)</f>
        <v/>
      </c>
      <c r="L74" s="5" t="inlineStr">
        <is>
          <t>90日</t>
        </is>
      </c>
      <c r="M74" s="5" t="inlineStr">
        <is>
          <t>約30日</t>
        </is>
      </c>
      <c r="N74" s="5" t="inlineStr">
        <is>
          <t>広告主新規／WEBより30日以内のキャリア相談実施</t>
        </is>
      </c>
      <c r="O74" s="5" t="inlineStr">
        <is>
          <t>キャンセル・重複・不正／リスティング違反</t>
        </is>
      </c>
      <c r="P74" s="5" t="inlineStr">
        <is>
          <t>NG</t>
        </is>
      </c>
      <c r="Q74" s="5" t="inlineStr">
        <is>
          <t>NG</t>
        </is>
      </c>
      <c r="R74" s="5" t="inlineStr">
        <is>
          <t>未確認</t>
        </is>
      </c>
      <c r="S74" s="5" t="inlineStr">
        <is>
          <t>未確認</t>
        </is>
      </c>
      <c r="T74" s="5" t="inlineStr">
        <is>
          <t>あり</t>
        </is>
      </c>
      <c r="U74" s="5" t="inlineStr">
        <is>
          <t>未確認</t>
        </is>
      </c>
      <c r="V74" s="5" t="inlineStr">
        <is>
          <t>要詳細分析</t>
        </is>
      </c>
      <c r="W74" s="5" t="inlineStr">
        <is>
          <t>BIG4等大手コンサル輩出実績を訴求。確定率61.53%だがEPC12.77円と到達率は低い</t>
        </is>
      </c>
      <c r="X74" s="5" t="inlineStr">
        <is>
          <t>済（写真から入力）</t>
        </is>
      </c>
      <c r="Y74" s="5" t="inlineStr">
        <is>
          <t>A8.netプログラム詳細画面（ユーザー提供スクリーンショット）</t>
        </is>
      </c>
      <c r="Z74" s="5" t="inlineStr">
        <is>
          <t>2026-09-05</t>
        </is>
      </c>
      <c r="AA74" s="5" t="inlineStr">
        <is>
          <t>s00000027609001</t>
        </is>
      </c>
    </row>
    <row r="75">
      <c r="A75" s="5" t="n">
        <v>74</v>
      </c>
      <c r="B75" s="5" t="inlineStr">
        <is>
          <t>エノサポ就活（短期集中・20代既卒/中退向け）</t>
        </is>
      </c>
      <c r="C75" s="5" t="inlineStr">
        <is>
          <t>EnoVance</t>
        </is>
      </c>
      <c r="D75" s="5" t="inlineStr">
        <is>
          <t>既卒・第二新卒・中退</t>
        </is>
      </c>
      <c r="E75" s="5" t="inlineStr">
        <is>
          <t>20代既卒・第二新卒・大学中退</t>
        </is>
      </c>
      <c r="F75" s="6" t="n">
        <v>12000</v>
      </c>
      <c r="G75" s="5" t="inlineStr">
        <is>
          <t>新規会員登録</t>
        </is>
      </c>
      <c r="H75" s="5" t="inlineStr">
        <is>
          <t>会員登録完了</t>
        </is>
      </c>
      <c r="I75" s="7" t="n">
        <v>0.25</v>
      </c>
      <c r="J75" s="6" t="n">
        <v>247.7</v>
      </c>
      <c r="K75" s="8">
        <f>IF(OR(F75="",I75=""),"",F75*I75)</f>
        <v/>
      </c>
      <c r="L75" s="5" t="inlineStr">
        <is>
          <t>90日</t>
        </is>
      </c>
      <c r="M75" s="5" t="inlineStr">
        <is>
          <t>約30日</t>
        </is>
      </c>
      <c r="N75" s="5" t="inlineStr">
        <is>
          <t>広告主新規／WEBより30日以内の面談実施</t>
        </is>
      </c>
      <c r="O75" s="5" t="inlineStr">
        <is>
          <t>重複・国籍要件あり・地域要件あり／リスティング違反</t>
        </is>
      </c>
      <c r="P75" s="5" t="inlineStr">
        <is>
          <t>NG</t>
        </is>
      </c>
      <c r="Q75" s="5" t="inlineStr">
        <is>
          <t>NG</t>
        </is>
      </c>
      <c r="R75" s="5" t="inlineStr">
        <is>
          <t>未確認</t>
        </is>
      </c>
      <c r="S75" s="5" t="inlineStr">
        <is>
          <t>未確認</t>
        </is>
      </c>
      <c r="T75" s="5" t="inlineStr">
        <is>
          <t>あり</t>
        </is>
      </c>
      <c r="U75" s="5" t="inlineStr">
        <is>
          <t>未確認</t>
        </is>
      </c>
      <c r="V75" s="5" t="inlineStr">
        <is>
          <t>要詳細分析</t>
        </is>
      </c>
      <c r="W75" s="5" t="inlineStr">
        <is>
          <t>確定率25%だがEPC247.7円と高水準。短期集中の就活サポートを訴求</t>
        </is>
      </c>
      <c r="X75" s="5" t="inlineStr">
        <is>
          <t>済（写真から入力）</t>
        </is>
      </c>
      <c r="Y75" s="5" t="inlineStr">
        <is>
          <t>A8.netプログラム詳細画面（ユーザー提供スクリーンショット）</t>
        </is>
      </c>
      <c r="Z75" s="5" t="inlineStr">
        <is>
          <t>2026-09-05</t>
        </is>
      </c>
      <c r="AA75" s="5" t="inlineStr">
        <is>
          <t>s00000027370001</t>
        </is>
      </c>
    </row>
    <row r="76">
      <c r="A76" s="5" t="n">
        <v>75</v>
      </c>
      <c r="B76" s="5" t="inlineStr">
        <is>
          <t>CREATIVE VILLAGE（Web業界経験者の転職支援）</t>
        </is>
      </c>
      <c r="C76" s="5" t="inlineStr">
        <is>
          <t>株式会社クリーク・アンド・リバー社</t>
        </is>
      </c>
      <c r="D76" s="5" t="inlineStr">
        <is>
          <t>IT/Web(経験者)</t>
        </is>
      </c>
      <c r="E76" s="5" t="inlineStr">
        <is>
          <t>Webディレクター・UI/UXデザイナー・SEOコンサル等、24歳以上</t>
        </is>
      </c>
      <c r="F76" s="6" t="n">
        <v>12000</v>
      </c>
      <c r="G76" s="5" t="inlineStr">
        <is>
          <t>新規登録</t>
        </is>
      </c>
      <c r="H76" s="5" t="inlineStr">
        <is>
          <t>会員登録完了</t>
        </is>
      </c>
      <c r="I76" s="7" t="n">
        <v>1</v>
      </c>
      <c r="J76" s="6" t="n">
        <v>157.89</v>
      </c>
      <c r="K76" s="8">
        <f>IF(OR(F76="",I76=""),"",F76*I76)</f>
        <v/>
      </c>
      <c r="L76" s="5" t="inlineStr">
        <is>
          <t>90日</t>
        </is>
      </c>
      <c r="M76" s="5" t="inlineStr">
        <is>
          <t>約30日</t>
        </is>
      </c>
      <c r="N76" s="5" t="inlineStr">
        <is>
          <t>広告主新規／WEBより30日以内の登録完了／Web業界経験者</t>
        </is>
      </c>
      <c r="O76" s="5" t="inlineStr">
        <is>
          <t>虚偽・不正・キャンセル／リスティング違反</t>
        </is>
      </c>
      <c r="P76" s="5" t="inlineStr">
        <is>
          <t>NG</t>
        </is>
      </c>
      <c r="Q76" s="5" t="inlineStr">
        <is>
          <t>NG</t>
        </is>
      </c>
      <c r="R76" s="5" t="inlineStr">
        <is>
          <t>未確認</t>
        </is>
      </c>
      <c r="S76" s="5" t="inlineStr">
        <is>
          <t>未確認</t>
        </is>
      </c>
      <c r="T76" s="5" t="inlineStr">
        <is>
          <t>あり</t>
        </is>
      </c>
      <c r="U76" s="5" t="inlineStr">
        <is>
          <t>未確認</t>
        </is>
      </c>
      <c r="V76" s="5" t="inlineStr">
        <is>
          <t>要詳細分析</t>
        </is>
      </c>
      <c r="W76" s="5" t="inlineStr">
        <is>
          <t>確定率100%・EPC157.89円と高水準。35,000件以上の求人保有を訴求</t>
        </is>
      </c>
      <c r="X76" s="5" t="inlineStr">
        <is>
          <t>済（写真から入力）</t>
        </is>
      </c>
      <c r="Y76" s="5" t="inlineStr">
        <is>
          <t>A8.netプログラム詳細画面（ユーザー提供スクリーンショット）</t>
        </is>
      </c>
      <c r="Z76" s="5" t="inlineStr">
        <is>
          <t>2026-09-05</t>
        </is>
      </c>
      <c r="AA76" s="5" t="inlineStr">
        <is>
          <t>s00000019744005</t>
        </is>
      </c>
    </row>
    <row r="77">
      <c r="A77" s="5" t="n">
        <v>76</v>
      </c>
      <c r="B77" s="5" t="inlineStr">
        <is>
          <t>Neuro Dive（AI/データサイエンス就労移行支援）</t>
        </is>
      </c>
      <c r="C77" s="5" t="inlineStr">
        <is>
          <t>パーソルダイバース株式会社</t>
        </is>
      </c>
      <c r="D77" s="5" t="inlineStr">
        <is>
          <t>障害者向け(就労移行支援)</t>
        </is>
      </c>
      <c r="E77" s="5" t="inlineStr">
        <is>
          <t>18〜64歳、障害者手帳保有者</t>
        </is>
      </c>
      <c r="F77" s="6" t="n">
        <v>12000</v>
      </c>
      <c r="G77" s="5" t="inlineStr">
        <is>
          <t>新規WEB説明会参加</t>
        </is>
      </c>
      <c r="H77" s="5" t="inlineStr">
        <is>
          <t>WEB説明会参加完了</t>
        </is>
      </c>
      <c r="I77" s="7" t="n">
        <v>0.6172</v>
      </c>
      <c r="J77" s="6" t="n">
        <v>65.97</v>
      </c>
      <c r="K77" s="8">
        <f>IF(OR(F77="",I77=""),"",F77*I77)</f>
        <v/>
      </c>
      <c r="L77" s="5" t="inlineStr">
        <is>
          <t>90日</t>
        </is>
      </c>
      <c r="M77" s="5" t="inlineStr">
        <is>
          <t>約30日</t>
        </is>
      </c>
      <c r="N77" s="5" t="inlineStr">
        <is>
          <t>広告主新規／WEBより30日以内の説明会参加完了／障害者手帳保有者</t>
        </is>
      </c>
      <c r="O77" s="5" t="inlineStr">
        <is>
          <t>虚偽・重複・キャンセル／リスティング違反</t>
        </is>
      </c>
      <c r="P77" s="5" t="inlineStr">
        <is>
          <t>NG</t>
        </is>
      </c>
      <c r="Q77" s="5" t="inlineStr">
        <is>
          <t>NG</t>
        </is>
      </c>
      <c r="R77" s="5" t="inlineStr">
        <is>
          <t>未確認</t>
        </is>
      </c>
      <c r="S77" s="5" t="inlineStr">
        <is>
          <t>未確認</t>
        </is>
      </c>
      <c r="T77" s="5" t="inlineStr">
        <is>
          <t>あり</t>
        </is>
      </c>
      <c r="U77" s="5" t="inlineStr">
        <is>
          <t>未確認</t>
        </is>
      </c>
      <c r="V77" s="5" t="inlineStr">
        <is>
          <t>要詳細分析</t>
        </is>
      </c>
      <c r="W77" s="5" t="inlineStr">
        <is>
          <t>確定率61.72%・EPC65.97円。AI/データサイエンス特化の障害者就労移行支援という珍しいニッチ</t>
        </is>
      </c>
      <c r="X77" s="5" t="inlineStr">
        <is>
          <t>済（写真から入力）</t>
        </is>
      </c>
      <c r="Y77" s="5" t="inlineStr">
        <is>
          <t>A8.netプログラム詳細画面（ユーザー提供スクリーンショット）</t>
        </is>
      </c>
      <c r="Z77" s="5" t="inlineStr">
        <is>
          <t>2026-09-05</t>
        </is>
      </c>
      <c r="AA77" s="5" t="inlineStr">
        <is>
          <t>s00000019633003</t>
        </is>
      </c>
    </row>
    <row r="78">
      <c r="A78" s="5" t="n">
        <v>77</v>
      </c>
      <c r="B78" s="5" t="inlineStr">
        <is>
          <t>UZUZIT（未経験からのITエンジニア転職支援）</t>
        </is>
      </c>
      <c r="C78" s="5" t="inlineStr">
        <is>
          <t>株式会社UZUZ</t>
        </is>
      </c>
      <c r="D78" s="5" t="inlineStr">
        <is>
          <t>IT(未経験可)/第二新卒</t>
        </is>
      </c>
      <c r="E78" s="5" t="inlineStr">
        <is>
          <t>第二新卒・既卒・フリーター・ニート、18〜32歳</t>
        </is>
      </c>
      <c r="F78" s="6" t="n">
        <v>12000</v>
      </c>
      <c r="G78" s="5" t="inlineStr">
        <is>
          <t>新規登録</t>
        </is>
      </c>
      <c r="H78" s="5" t="inlineStr">
        <is>
          <t>会員登録完了</t>
        </is>
      </c>
      <c r="I78" s="7" t="n">
        <v>0.4594</v>
      </c>
      <c r="J78" s="6" t="n">
        <v>33.15</v>
      </c>
      <c r="K78" s="8">
        <f>IF(OR(F78="",I78=""),"",F78*I78)</f>
        <v/>
      </c>
      <c r="L78" s="5" t="inlineStr">
        <is>
          <t>90日</t>
        </is>
      </c>
      <c r="M78" s="5" t="inlineStr">
        <is>
          <t>約30日</t>
        </is>
      </c>
      <c r="N78" s="5" t="inlineStr">
        <is>
          <t>WEBより登録完了</t>
        </is>
      </c>
      <c r="O78" s="5" t="inlineStr">
        <is>
          <t>虚偽・重複・キャンセル／1世帯2回以上／リスティング違反</t>
        </is>
      </c>
      <c r="P78" s="5" t="inlineStr">
        <is>
          <t>NG</t>
        </is>
      </c>
      <c r="Q78" s="5" t="inlineStr">
        <is>
          <t>NG</t>
        </is>
      </c>
      <c r="R78" s="5" t="inlineStr">
        <is>
          <t>未確認</t>
        </is>
      </c>
      <c r="S78" s="5" t="inlineStr">
        <is>
          <t>未確認</t>
        </is>
      </c>
      <c r="T78" s="5" t="inlineStr">
        <is>
          <t>あり</t>
        </is>
      </c>
      <c r="U78" s="5" t="inlineStr">
        <is>
          <t>未確認</t>
        </is>
      </c>
      <c r="V78" s="5" t="inlineStr">
        <is>
          <t>要詳細分析</t>
        </is>
      </c>
      <c r="W78" s="5" t="inlineStr">
        <is>
          <t>同一広告主UZUZの別プログラム（既存行の第二新卒版とは対象がIT未経験に絞られる）</t>
        </is>
      </c>
      <c r="X78" s="5" t="inlineStr">
        <is>
          <t>済（写真から入力）</t>
        </is>
      </c>
      <c r="Y78" s="5" t="inlineStr">
        <is>
          <t>A8.netプログラム詳細画面（ユーザー提供スクリーンショット）</t>
        </is>
      </c>
      <c r="Z78" s="5" t="inlineStr">
        <is>
          <t>2026-09-05</t>
        </is>
      </c>
      <c r="AA78" s="5" t="inlineStr">
        <is>
          <t>s00000014490008</t>
        </is>
      </c>
    </row>
    <row r="79">
      <c r="A79" s="5" t="n">
        <v>78</v>
      </c>
      <c r="B79" s="5" t="inlineStr">
        <is>
          <t>Pivotal Career（20代営業職特化の転職支援）</t>
        </is>
      </c>
      <c r="C79" s="5" t="inlineStr">
        <is>
          <t>EnoVance</t>
        </is>
      </c>
      <c r="D79" s="5" t="inlineStr">
        <is>
          <t>営業職</t>
        </is>
      </c>
      <c r="E79" s="5" t="inlineStr">
        <is>
          <t>20代営業職経験者</t>
        </is>
      </c>
      <c r="F79" s="6" t="n">
        <v>17000</v>
      </c>
      <c r="G79" s="5" t="inlineStr">
        <is>
          <t>新規面談完了（キャンペーン中、通常12,000円、2026/08/05〜11/04）</t>
        </is>
      </c>
      <c r="H79" s="5" t="inlineStr">
        <is>
          <t>面談完了</t>
        </is>
      </c>
      <c r="I79" s="7" t="n"/>
      <c r="J79" s="6" t="n">
        <v>318.75</v>
      </c>
      <c r="K79" s="8">
        <f>IF(OR(F79="",I79=""),"",F79*I79)</f>
        <v/>
      </c>
      <c r="L79" s="5" t="inlineStr">
        <is>
          <t>90日</t>
        </is>
      </c>
      <c r="M79" s="5" t="inlineStr">
        <is>
          <t>約30日</t>
        </is>
      </c>
      <c r="N79" s="5" t="inlineStr">
        <is>
          <t>広告主新規／WEBより30日以内の面談実施</t>
        </is>
      </c>
      <c r="O79" s="5" t="inlineStr">
        <is>
          <t>重複・虚偽・キャンセル／リスティング違反</t>
        </is>
      </c>
      <c r="P79" s="5" t="inlineStr">
        <is>
          <t>NG</t>
        </is>
      </c>
      <c r="Q79" s="5" t="inlineStr">
        <is>
          <t>NG</t>
        </is>
      </c>
      <c r="R79" s="5" t="inlineStr">
        <is>
          <t>未確認</t>
        </is>
      </c>
      <c r="S79" s="5" t="inlineStr">
        <is>
          <t>未確認</t>
        </is>
      </c>
      <c r="T79" s="5" t="inlineStr">
        <is>
          <t>あり</t>
        </is>
      </c>
      <c r="U79" s="5" t="inlineStr">
        <is>
          <t>未確認</t>
        </is>
      </c>
      <c r="V79" s="5" t="inlineStr">
        <is>
          <t>要詳細分析</t>
        </is>
      </c>
      <c r="W79" s="5" t="inlineStr">
        <is>
          <t>EPC318.75円と高水準だが確定率非表示。キャンペーン期限に要注意</t>
        </is>
      </c>
      <c r="X79" s="5" t="inlineStr">
        <is>
          <t>済（写真から入力、確定率データなし）</t>
        </is>
      </c>
      <c r="Y79" s="5" t="inlineStr">
        <is>
          <t>A8.netプログラム詳細画面（ユーザー提供スクリーンショット）</t>
        </is>
      </c>
      <c r="Z79" s="5" t="inlineStr">
        <is>
          <t>2026-09-05</t>
        </is>
      </c>
      <c r="AA79" s="5" t="inlineStr">
        <is>
          <t>s00000027370002</t>
        </is>
      </c>
    </row>
    <row r="80">
      <c r="A80" s="5" t="n">
        <v>79</v>
      </c>
      <c r="B80" s="5" t="inlineStr">
        <is>
          <t>ユメキャリエージェント（大手人事部提供の転職サポート）</t>
        </is>
      </c>
      <c r="C80" s="5" t="inlineStr">
        <is>
          <t>ReveCareerAgency株式会社</t>
        </is>
      </c>
      <c r="D80" s="5" t="inlineStr">
        <is>
          <t>中途(20〜30代)</t>
        </is>
      </c>
      <c r="E80" s="5" t="inlineStr">
        <is>
          <t>20〜30代の中途転職希望者</t>
        </is>
      </c>
      <c r="F80" s="6" t="n">
        <v>13000</v>
      </c>
      <c r="G80" s="5" t="inlineStr">
        <is>
          <t>新規キャリアカウンセリング完了</t>
        </is>
      </c>
      <c r="H80" s="5" t="inlineStr">
        <is>
          <t>カウンセリング完了</t>
        </is>
      </c>
      <c r="I80" s="7" t="n">
        <v>0.4496</v>
      </c>
      <c r="J80" s="6" t="n">
        <v>33.09</v>
      </c>
      <c r="K80" s="8">
        <f>IF(OR(F80="",I80=""),"",F80*I80)</f>
        <v/>
      </c>
      <c r="L80" s="5" t="inlineStr">
        <is>
          <t>90日</t>
        </is>
      </c>
      <c r="M80" s="5" t="inlineStr">
        <is>
          <t>約30日</t>
        </is>
      </c>
      <c r="N80" s="5" t="inlineStr">
        <is>
          <t>広告主新規／WEBより30日以内のカウンセリング完了</t>
        </is>
      </c>
      <c r="O80" s="5" t="inlineStr">
        <is>
          <t>キャンセル・虚偽・なりすまし／LINE経由の申込NG／リスティング違反</t>
        </is>
      </c>
      <c r="P80" s="5" t="inlineStr">
        <is>
          <t>NG</t>
        </is>
      </c>
      <c r="Q80" s="5" t="inlineStr">
        <is>
          <t>NG</t>
        </is>
      </c>
      <c r="R80" s="5" t="inlineStr">
        <is>
          <t>未確認</t>
        </is>
      </c>
      <c r="S80" s="5" t="inlineStr">
        <is>
          <t>未確認</t>
        </is>
      </c>
      <c r="T80" s="5" t="inlineStr">
        <is>
          <t>あり</t>
        </is>
      </c>
      <c r="U80" s="5" t="inlineStr">
        <is>
          <t>未確認</t>
        </is>
      </c>
      <c r="V80" s="5" t="inlineStr">
        <is>
          <t>要詳細分析</t>
        </is>
      </c>
      <c r="W80" s="5" t="inlineStr">
        <is>
          <t>同一広告主のユメキャリ転職エージェント（既存行）と類似。EPC33円と低め</t>
        </is>
      </c>
      <c r="X80" s="5" t="inlineStr">
        <is>
          <t>済（写真から入力）</t>
        </is>
      </c>
      <c r="Y80" s="5" t="inlineStr">
        <is>
          <t>A8.netプログラム詳細画面（ユーザー提供スクリーンショット）</t>
        </is>
      </c>
      <c r="Z80" s="5" t="inlineStr">
        <is>
          <t>2026-09-05</t>
        </is>
      </c>
      <c r="AA80" s="5" t="inlineStr">
        <is>
          <t>s00000026686001</t>
        </is>
      </c>
    </row>
    <row r="81">
      <c r="A81" s="5" t="n">
        <v>80</v>
      </c>
      <c r="B81" s="5" t="inlineStr">
        <is>
          <t>ユメキャリ就職エージェント（27卒向け完全無料就活サポート）</t>
        </is>
      </c>
      <c r="C81" s="5" t="inlineStr">
        <is>
          <t>ReveCareerAgency株式会社</t>
        </is>
      </c>
      <c r="D81" s="5" t="inlineStr">
        <is>
          <t>新卒</t>
        </is>
      </c>
      <c r="E81" s="5" t="inlineStr">
        <is>
          <t>27卒学生</t>
        </is>
      </c>
      <c r="F81" s="6" t="n">
        <v>13000</v>
      </c>
      <c r="G81" s="5" t="inlineStr">
        <is>
          <t>新規面談完了</t>
        </is>
      </c>
      <c r="H81" s="5" t="inlineStr">
        <is>
          <t>面談完了</t>
        </is>
      </c>
      <c r="I81" s="7" t="n">
        <v>0.1929</v>
      </c>
      <c r="J81" s="6" t="n">
        <v>374</v>
      </c>
      <c r="K81" s="8">
        <f>IF(OR(F81="",I81=""),"",F81*I81)</f>
        <v/>
      </c>
      <c r="L81" s="5" t="inlineStr">
        <is>
          <t>90日</t>
        </is>
      </c>
      <c r="M81" s="5" t="inlineStr">
        <is>
          <t>約30日</t>
        </is>
      </c>
      <c r="N81" s="5" t="inlineStr">
        <is>
          <t>広告主新規／WEBより30日以内の面談完了／27卒対象</t>
        </is>
      </c>
      <c r="O81" s="5" t="inlineStr">
        <is>
          <t>キャンセル・虚偽・なりすまし／リスティング違反</t>
        </is>
      </c>
      <c r="P81" s="5" t="inlineStr">
        <is>
          <t>NG</t>
        </is>
      </c>
      <c r="Q81" s="5" t="inlineStr">
        <is>
          <t>NG</t>
        </is>
      </c>
      <c r="R81" s="5" t="inlineStr">
        <is>
          <t>未確認</t>
        </is>
      </c>
      <c r="S81" s="5" t="inlineStr">
        <is>
          <t>未確認</t>
        </is>
      </c>
      <c r="T81" s="5" t="inlineStr">
        <is>
          <t>あり</t>
        </is>
      </c>
      <c r="U81" s="5" t="inlineStr">
        <is>
          <t>未確認</t>
        </is>
      </c>
      <c r="V81" s="5" t="inlineStr">
        <is>
          <t>要詳細分析</t>
        </is>
      </c>
      <c r="W81" s="5" t="inlineStr">
        <is>
          <t>確定率19.29%だがEPC374円と高水準。同一広告主のユメキャリ系列の新卒版</t>
        </is>
      </c>
      <c r="X81" s="5" t="inlineStr">
        <is>
          <t>済（写真から入力）</t>
        </is>
      </c>
      <c r="Y81" s="5" t="inlineStr">
        <is>
          <t>A8.netプログラム詳細画面（ユーザー提供スクリーンショット）</t>
        </is>
      </c>
      <c r="Z81" s="5" t="inlineStr">
        <is>
          <t>2026-09-05</t>
        </is>
      </c>
      <c r="AA81" s="5" t="inlineStr">
        <is>
          <t>s00000026686002</t>
        </is>
      </c>
    </row>
    <row r="82">
      <c r="A82" s="5" t="n">
        <v>81</v>
      </c>
      <c r="B82" s="5" t="inlineStr">
        <is>
          <t>SAPフリーランスバンク（SAP特化ITフリーランス紹介）</t>
        </is>
      </c>
      <c r="C82" s="5" t="inlineStr">
        <is>
          <t>株式会社スラッシュエンジニアリング</t>
        </is>
      </c>
      <c r="D82" s="5" t="inlineStr">
        <is>
          <t>IT(SAPフリーランス)</t>
        </is>
      </c>
      <c r="E82" s="5" t="inlineStr">
        <is>
          <t>SAPエンジニア・コンサルタント・PM/PMO経験者</t>
        </is>
      </c>
      <c r="F82" s="6" t="n">
        <v>13000</v>
      </c>
      <c r="G82" s="5" t="inlineStr">
        <is>
          <t>新規カウンセリング完了</t>
        </is>
      </c>
      <c r="H82" s="5" t="inlineStr">
        <is>
          <t>カウンセリング完了</t>
        </is>
      </c>
      <c r="I82" s="7" t="n">
        <v>0.3333</v>
      </c>
      <c r="J82" s="6" t="n"/>
      <c r="K82" s="8">
        <f>IF(OR(F82="",I82=""),"",F82*I82)</f>
        <v/>
      </c>
      <c r="L82" s="5" t="inlineStr">
        <is>
          <t>90日</t>
        </is>
      </c>
      <c r="M82" s="5" t="inlineStr">
        <is>
          <t>約30日</t>
        </is>
      </c>
      <c r="N82" s="5" t="inlineStr">
        <is>
          <t>広告主新規／WEBより30日以内のカウンセリング完了</t>
        </is>
      </c>
      <c r="O82" s="5" t="inlineStr">
        <is>
          <t>虚偽・重複・LINE経由の登録NG／50歳以上の申込NG／リスティング違反</t>
        </is>
      </c>
      <c r="P82" s="5" t="inlineStr">
        <is>
          <t>NG</t>
        </is>
      </c>
      <c r="Q82" s="5" t="inlineStr">
        <is>
          <t>NG</t>
        </is>
      </c>
      <c r="R82" s="5" t="inlineStr">
        <is>
          <t>未確認</t>
        </is>
      </c>
      <c r="S82" s="5" t="inlineStr">
        <is>
          <t>未確認</t>
        </is>
      </c>
      <c r="T82" s="5" t="inlineStr">
        <is>
          <t>あり</t>
        </is>
      </c>
      <c r="U82" s="5" t="inlineStr">
        <is>
          <t>未確認</t>
        </is>
      </c>
      <c r="V82" s="5" t="inlineStr">
        <is>
          <t>要詳細分析</t>
        </is>
      </c>
      <c r="W82" s="5" t="inlineStr">
        <is>
          <t>SAP特化のニッチなフリーランス紹介。確定率33.33%、EPCは非表示</t>
        </is>
      </c>
      <c r="X82" s="5" t="inlineStr">
        <is>
          <t>済（写真から入力、EPCデータなし）</t>
        </is>
      </c>
      <c r="Y82" s="5" t="inlineStr">
        <is>
          <t>A8.netプログラム詳細画面（ユーザー提供スクリーンショット）</t>
        </is>
      </c>
      <c r="Z82" s="5" t="inlineStr">
        <is>
          <t>2026-09-05</t>
        </is>
      </c>
      <c r="AA82" s="5" t="inlineStr">
        <is>
          <t>s00000026342001</t>
        </is>
      </c>
    </row>
    <row r="83">
      <c r="A83" s="5" t="n">
        <v>82</v>
      </c>
      <c r="B83" s="5" t="inlineStr">
        <is>
          <t>CHATSTYLE（全国チャットレディ求人）</t>
        </is>
      </c>
      <c r="C83" s="5" t="inlineStr">
        <is>
          <t>株式会社RTK</t>
        </is>
      </c>
      <c r="D83" s="5" t="inlineStr">
        <is>
          <t>アダルト・水商売系(要検討)</t>
        </is>
      </c>
      <c r="E83" s="5" t="inlineStr">
        <is>
          <t>18歳以上の女性</t>
        </is>
      </c>
      <c r="F83" s="6" t="n">
        <v>13000</v>
      </c>
      <c r="G83" s="5" t="inlineStr">
        <is>
          <t>新規登録（在宅登録も同額13,000円）</t>
        </is>
      </c>
      <c r="H83" s="5" t="inlineStr">
        <is>
          <t>登録完了</t>
        </is>
      </c>
      <c r="I83" s="7" t="n">
        <v>0.25</v>
      </c>
      <c r="J83" s="6" t="n">
        <v>62.8</v>
      </c>
      <c r="K83" s="8">
        <f>IF(OR(F83="",I83=""),"",F83*I83)</f>
        <v/>
      </c>
      <c r="L83" s="5" t="inlineStr">
        <is>
          <t>90日</t>
        </is>
      </c>
      <c r="M83" s="5" t="inlineStr">
        <is>
          <t>約30日</t>
        </is>
      </c>
      <c r="N83" s="5" t="inlineStr">
        <is>
          <t>広告主新規／WEBよりフォーム登録完了</t>
        </is>
      </c>
      <c r="O83" s="5" t="inlineStr">
        <is>
          <t>登録内容不備・重複・虚偽／18歳未満の申込／リスティング違反</t>
        </is>
      </c>
      <c r="P83" s="5" t="inlineStr">
        <is>
          <t>NG</t>
        </is>
      </c>
      <c r="Q83" s="5" t="inlineStr">
        <is>
          <t>NG</t>
        </is>
      </c>
      <c r="R83" s="5" t="inlineStr">
        <is>
          <t>未確認</t>
        </is>
      </c>
      <c r="S83" s="5" t="inlineStr">
        <is>
          <t>未確認</t>
        </is>
      </c>
      <c r="T83" s="5" t="inlineStr">
        <is>
          <t>あり</t>
        </is>
      </c>
      <c r="U83" s="5" t="inlineStr">
        <is>
          <t>未確認</t>
        </is>
      </c>
      <c r="V83" s="5" t="inlineStr">
        <is>
          <t>要検討（業種特殊）</t>
        </is>
      </c>
      <c r="W83" s="5" t="inlineStr">
        <is>
          <t>⚠️他の転職エージェント案件とは業種が全く異なる（チャットレディ＝アダルト・水商売系の求人）。A8『就職・転職』カテゴリに含まれてはいるが、本シートが想定する転職エージェント紹介の文脈とは性質が異なるため、この案件を含めるか自体を要検討</t>
        </is>
      </c>
      <c r="X83" s="5" t="inlineStr">
        <is>
          <t>済（写真から入力）</t>
        </is>
      </c>
      <c r="Y83" s="5" t="inlineStr">
        <is>
          <t>A8.netプログラム詳細画面（ユーザー提供スクリーンショット）</t>
        </is>
      </c>
      <c r="Z83" s="5" t="inlineStr">
        <is>
          <t>2026-09-05</t>
        </is>
      </c>
      <c r="AA83" s="5" t="inlineStr">
        <is>
          <t>s00000022254001</t>
        </is>
      </c>
    </row>
    <row r="84">
      <c r="A84" s="5" t="n">
        <v>83</v>
      </c>
      <c r="B84" s="5" t="inlineStr">
        <is>
          <t>WARC AGENT（管理部門特化の転職エージェント）</t>
        </is>
      </c>
      <c r="C84" s="5" t="inlineStr">
        <is>
          <t>CPAキャリアサポート株式会社</t>
        </is>
      </c>
      <c r="D84" s="5" t="inlineStr">
        <is>
          <t>専門職(経理・財務・法務等管理部門)</t>
        </is>
      </c>
      <c r="E84" s="5" t="inlineStr">
        <is>
          <t>上場企業・IPO準備企業のミドル・ハイクラス管理部門人材</t>
        </is>
      </c>
      <c r="F84" s="6" t="n">
        <v>14650</v>
      </c>
      <c r="G84" s="5" t="inlineStr">
        <is>
          <t>新規無料面談実施</t>
        </is>
      </c>
      <c r="H84" s="5" t="inlineStr">
        <is>
          <t>面談実施完了</t>
        </is>
      </c>
      <c r="I84" s="7" t="n">
        <v>0.5</v>
      </c>
      <c r="J84" s="6" t="n"/>
      <c r="K84" s="8">
        <f>IF(OR(F84="",I84=""),"",F84*I84)</f>
        <v/>
      </c>
      <c r="L84" s="5" t="inlineStr">
        <is>
          <t>90日</t>
        </is>
      </c>
      <c r="M84" s="5" t="inlineStr">
        <is>
          <t>約30日</t>
        </is>
      </c>
      <c r="N84" s="5" t="inlineStr">
        <is>
          <t>広告主新規／WEBより30日以内の無料面談実施</t>
        </is>
      </c>
      <c r="O84" s="5" t="inlineStr">
        <is>
          <t>重複・キャンセル・不正／50歳以上の申込／リスティング違反</t>
        </is>
      </c>
      <c r="P84" s="5" t="inlineStr">
        <is>
          <t>NG</t>
        </is>
      </c>
      <c r="Q84" s="5" t="inlineStr">
        <is>
          <t>NG</t>
        </is>
      </c>
      <c r="R84" s="5" t="inlineStr">
        <is>
          <t>未確認</t>
        </is>
      </c>
      <c r="S84" s="5" t="inlineStr">
        <is>
          <t>未確認</t>
        </is>
      </c>
      <c r="T84" s="5" t="inlineStr">
        <is>
          <t>あり</t>
        </is>
      </c>
      <c r="U84" s="5" t="inlineStr">
        <is>
          <t>未確認</t>
        </is>
      </c>
      <c r="V84" s="5" t="inlineStr">
        <is>
          <t>要詳細分析</t>
        </is>
      </c>
      <c r="W84" s="5" t="inlineStr">
        <is>
          <t>管理部門（経理・財務・法務・人事等）特化。確定率50%、EPCは非表示</t>
        </is>
      </c>
      <c r="X84" s="5" t="inlineStr">
        <is>
          <t>済（写真から入力、EPCデータなし）</t>
        </is>
      </c>
      <c r="Y84" s="5" t="inlineStr">
        <is>
          <t>A8.netプログラム詳細画面（ユーザー提供スクリーンショット）</t>
        </is>
      </c>
      <c r="Z84" s="5" t="inlineStr">
        <is>
          <t>2026-09-05</t>
        </is>
      </c>
      <c r="AA84" s="5" t="inlineStr">
        <is>
          <t>s00000026568002</t>
        </is>
      </c>
    </row>
    <row r="85">
      <c r="A85" s="5" t="n">
        <v>84</v>
      </c>
      <c r="B85" s="5" t="inlineStr">
        <is>
          <t>Geekly（IT・Web・ソーシャルゲーム業界特化）</t>
        </is>
      </c>
      <c r="C85" s="5" t="inlineStr">
        <is>
          <t>未確認</t>
        </is>
      </c>
      <c r="D85" s="5" t="inlineStr">
        <is>
          <t>IT/Web/ゲーム業界</t>
        </is>
      </c>
      <c r="E85" s="5" t="inlineStr">
        <is>
          <t>IT・Web・ソーシャルゲーム業界経験者</t>
        </is>
      </c>
      <c r="F85" s="6" t="n"/>
      <c r="G85" s="5" t="inlineStr">
        <is>
          <t>要確認（画像判読困難）</t>
        </is>
      </c>
      <c r="H85" s="5" t="inlineStr">
        <is>
          <t>登録完了</t>
        </is>
      </c>
      <c r="I85" s="7" t="n">
        <v>0.6207</v>
      </c>
      <c r="J85" s="6" t="n">
        <v>1262.03</v>
      </c>
      <c r="K85" s="8">
        <f>IF(OR(F85="",I85=""),"",F85*I85)</f>
        <v/>
      </c>
      <c r="L85" s="5" t="inlineStr">
        <is>
          <t>90日</t>
        </is>
      </c>
      <c r="M85" s="5" t="inlineStr">
        <is>
          <t>約30日</t>
        </is>
      </c>
      <c r="N85" s="5" t="inlineStr">
        <is>
          <t>未確認</t>
        </is>
      </c>
      <c r="O85" s="5" t="inlineStr">
        <is>
          <t>未確認</t>
        </is>
      </c>
      <c r="P85" s="5" t="inlineStr">
        <is>
          <t>NG</t>
        </is>
      </c>
      <c r="Q85" s="5" t="inlineStr">
        <is>
          <t>NG</t>
        </is>
      </c>
      <c r="R85" s="5" t="inlineStr">
        <is>
          <t>未確認</t>
        </is>
      </c>
      <c r="S85" s="5" t="inlineStr">
        <is>
          <t>未確認</t>
        </is>
      </c>
      <c r="T85" s="5" t="inlineStr">
        <is>
          <t>あり</t>
        </is>
      </c>
      <c r="U85" s="5" t="inlineStr">
        <is>
          <t>未確認</t>
        </is>
      </c>
      <c r="V85" s="5" t="inlineStr">
        <is>
          <t>要詳細分析</t>
        </is>
      </c>
      <c r="W85" s="5" t="inlineStr">
        <is>
          <t>EPC1,262円と全体でも最高水準級。詳細条件は画像が不鮮明で要再確認</t>
        </is>
      </c>
      <c r="X85" s="5" t="inlineStr">
        <is>
          <t>済（写真から入力、一部データ判読困難）</t>
        </is>
      </c>
      <c r="Y85" s="5" t="inlineStr">
        <is>
          <t>A8.netプログラム詳細画面（ユーザー提供スクリーンショット）</t>
        </is>
      </c>
      <c r="Z85" s="5" t="inlineStr">
        <is>
          <t>2026-09-05</t>
        </is>
      </c>
      <c r="AA85" s="5" t="inlineStr">
        <is>
          <t>未確認（画像不鮮明）</t>
        </is>
      </c>
    </row>
    <row r="86">
      <c r="A86" s="5" t="n">
        <v>85</v>
      </c>
      <c r="B86" s="5" t="inlineStr">
        <is>
          <t>ビルドジョブ（建設業界特化・施工管理の転職エージェント）</t>
        </is>
      </c>
      <c r="C86" s="5" t="inlineStr">
        <is>
          <t>MyVision</t>
        </is>
      </c>
      <c r="D86" s="5" t="inlineStr">
        <is>
          <t>建設・施工管理</t>
        </is>
      </c>
      <c r="E86" s="5" t="inlineStr">
        <is>
          <t>施工管理職経験者</t>
        </is>
      </c>
      <c r="F86" s="6" t="n">
        <v>13534</v>
      </c>
      <c r="G86" s="5" t="inlineStr">
        <is>
          <t>新規無料面談</t>
        </is>
      </c>
      <c r="H86" s="5" t="inlineStr">
        <is>
          <t>面談実施完了</t>
        </is>
      </c>
      <c r="I86" s="7" t="n">
        <v>0.3965</v>
      </c>
      <c r="J86" s="6" t="n">
        <v>343.28</v>
      </c>
      <c r="K86" s="8">
        <f>IF(OR(F86="",I86=""),"",F86*I86)</f>
        <v/>
      </c>
      <c r="L86" s="5" t="inlineStr">
        <is>
          <t>90日</t>
        </is>
      </c>
      <c r="M86" s="5" t="inlineStr">
        <is>
          <t>約30日</t>
        </is>
      </c>
      <c r="N86" s="5" t="inlineStr">
        <is>
          <t>広告主新規／WEBより30日以内の面談実施</t>
        </is>
      </c>
      <c r="O86" s="5" t="inlineStr">
        <is>
          <t>虚偽・重複・キャンセル／リスティング違反</t>
        </is>
      </c>
      <c r="P86" s="5" t="inlineStr">
        <is>
          <t>NG</t>
        </is>
      </c>
      <c r="Q86" s="5" t="inlineStr">
        <is>
          <t>NG</t>
        </is>
      </c>
      <c r="R86" s="5" t="inlineStr">
        <is>
          <t>未確認</t>
        </is>
      </c>
      <c r="S86" s="5" t="inlineStr">
        <is>
          <t>未確認</t>
        </is>
      </c>
      <c r="T86" s="5" t="inlineStr">
        <is>
          <t>あり</t>
        </is>
      </c>
      <c r="U86" s="5" t="inlineStr">
        <is>
          <t>未確認</t>
        </is>
      </c>
      <c r="V86" s="5" t="inlineStr">
        <is>
          <t>要詳細分析</t>
        </is>
      </c>
      <c r="W86" s="5" t="inlineStr">
        <is>
          <t>確定率39.65%・EPC343.28円。年収ダウンなしでホワイト転職を訴求</t>
        </is>
      </c>
      <c r="X86" s="5" t="inlineStr">
        <is>
          <t>済（写真から入力）</t>
        </is>
      </c>
      <c r="Y86" s="5" t="inlineStr">
        <is>
          <t>A8.netプログラム詳細画面（ユーザー提供スクリーンショット）</t>
        </is>
      </c>
      <c r="Z86" s="5" t="inlineStr">
        <is>
          <t>2026-09-05</t>
        </is>
      </c>
      <c r="AA86" s="5" t="inlineStr">
        <is>
          <t>s00000024757004</t>
        </is>
      </c>
    </row>
    <row r="87">
      <c r="A87" s="5" t="n">
        <v>86</v>
      </c>
      <c r="B87" s="5" t="inlineStr">
        <is>
          <t>IT転職エージェント@PRO（IT専門特化・経験者向け）</t>
        </is>
      </c>
      <c r="C87" s="5" t="inlineStr">
        <is>
          <t>エスアイフー</t>
        </is>
      </c>
      <c r="D87" s="5" t="inlineStr">
        <is>
          <t>IT(経験者)</t>
        </is>
      </c>
      <c r="E87" s="5" t="inlineStr">
        <is>
          <t>20〜44歳、IT/Webエンジニア経験者</t>
        </is>
      </c>
      <c r="F87" s="6" t="n">
        <v>13000</v>
      </c>
      <c r="G87" s="5" t="inlineStr">
        <is>
          <t>新規面談</t>
        </is>
      </c>
      <c r="H87" s="5" t="inlineStr">
        <is>
          <t>面談完了</t>
        </is>
      </c>
      <c r="I87" s="7" t="n">
        <v>0.09089999999999999</v>
      </c>
      <c r="J87" s="6" t="n">
        <v>25.34</v>
      </c>
      <c r="K87" s="8">
        <f>IF(OR(F87="",I87=""),"",F87*I87)</f>
        <v/>
      </c>
      <c r="L87" s="5" t="inlineStr">
        <is>
          <t>90日</t>
        </is>
      </c>
      <c r="M87" s="5" t="inlineStr">
        <is>
          <t>約30日</t>
        </is>
      </c>
      <c r="N87" s="5" t="inlineStr">
        <is>
          <t>広告主新規／WEBより30日以内のコンサルタント面談完了</t>
        </is>
      </c>
      <c r="O87" s="5" t="inlineStr">
        <is>
          <t>重複・虚偽・キャンセル／リスティング違反</t>
        </is>
      </c>
      <c r="P87" s="5" t="inlineStr">
        <is>
          <t>NG</t>
        </is>
      </c>
      <c r="Q87" s="5" t="inlineStr">
        <is>
          <t>NG</t>
        </is>
      </c>
      <c r="R87" s="5" t="inlineStr">
        <is>
          <t>未確認</t>
        </is>
      </c>
      <c r="S87" s="5" t="inlineStr">
        <is>
          <t>未確認</t>
        </is>
      </c>
      <c r="T87" s="5" t="inlineStr">
        <is>
          <t>あり</t>
        </is>
      </c>
      <c r="U87" s="5" t="inlineStr">
        <is>
          <t>未確認</t>
        </is>
      </c>
      <c r="V87" s="5" t="inlineStr">
        <is>
          <t>要詳細分析</t>
        </is>
      </c>
      <c r="W87" s="5" t="inlineStr">
        <is>
          <t>確定率9.09%・EPC25.34円と低め。経験者向けのIT専門特化エージェント</t>
        </is>
      </c>
      <c r="X87" s="5" t="inlineStr">
        <is>
          <t>済（写真から入力）</t>
        </is>
      </c>
      <c r="Y87" s="5" t="inlineStr">
        <is>
          <t>A8.netプログラム詳細画面（ユーザー提供スクリーンショット）</t>
        </is>
      </c>
      <c r="Z87" s="5" t="inlineStr">
        <is>
          <t>2026-09-05</t>
        </is>
      </c>
      <c r="AA87" s="5" t="inlineStr">
        <is>
          <t>s00000020853002</t>
        </is>
      </c>
    </row>
    <row r="88">
      <c r="A88" s="5" t="n">
        <v>87</v>
      </c>
      <c r="B88" s="5" t="inlineStr">
        <is>
          <t>IT転職エージェント@PRO人（未経験からのIT転職）</t>
        </is>
      </c>
      <c r="C88" s="5" t="inlineStr">
        <is>
          <t>エスアイフー</t>
        </is>
      </c>
      <c r="D88" s="5" t="inlineStr">
        <is>
          <t>IT(未経験可)</t>
        </is>
      </c>
      <c r="E88" s="5" t="inlineStr">
        <is>
          <t>20〜32歳、IT未経験可</t>
        </is>
      </c>
      <c r="F88" s="6" t="n">
        <v>13000</v>
      </c>
      <c r="G88" s="5" t="inlineStr">
        <is>
          <t>新規面談</t>
        </is>
      </c>
      <c r="H88" s="5" t="inlineStr">
        <is>
          <t>面談完了</t>
        </is>
      </c>
      <c r="I88" s="7" t="n">
        <v>0.1</v>
      </c>
      <c r="J88" s="6" t="n">
        <v>75.36</v>
      </c>
      <c r="K88" s="8">
        <f>IF(OR(F88="",I88=""),"",F88*I88)</f>
        <v/>
      </c>
      <c r="L88" s="5" t="inlineStr">
        <is>
          <t>90日</t>
        </is>
      </c>
      <c r="M88" s="5" t="inlineStr">
        <is>
          <t>約30日</t>
        </is>
      </c>
      <c r="N88" s="5" t="inlineStr">
        <is>
          <t>広告主新規／WEBより30日以内のコンサルタント面談完了</t>
        </is>
      </c>
      <c r="O88" s="5" t="inlineStr">
        <is>
          <t>重複・虚偽・キャンセル／リスティング違反</t>
        </is>
      </c>
      <c r="P88" s="5" t="inlineStr">
        <is>
          <t>NG</t>
        </is>
      </c>
      <c r="Q88" s="5" t="inlineStr">
        <is>
          <t>NG</t>
        </is>
      </c>
      <c r="R88" s="5" t="inlineStr">
        <is>
          <t>未確認</t>
        </is>
      </c>
      <c r="S88" s="5" t="inlineStr">
        <is>
          <t>未確認</t>
        </is>
      </c>
      <c r="T88" s="5" t="inlineStr">
        <is>
          <t>あり</t>
        </is>
      </c>
      <c r="U88" s="5" t="inlineStr">
        <is>
          <t>未確認</t>
        </is>
      </c>
      <c r="V88" s="5" t="inlineStr">
        <is>
          <t>要詳細分析</t>
        </is>
      </c>
      <c r="W88" s="5" t="inlineStr">
        <is>
          <t>同一広告主の未経験者向け版。確定率10%・EPC75.36円</t>
        </is>
      </c>
      <c r="X88" s="5" t="inlineStr">
        <is>
          <t>済（写真から入力）</t>
        </is>
      </c>
      <c r="Y88" s="5" t="inlineStr">
        <is>
          <t>A8.netプログラム詳細画面（ユーザー提供スクリーンショット）</t>
        </is>
      </c>
      <c r="Z88" s="5" t="inlineStr">
        <is>
          <t>2026-09-05</t>
        </is>
      </c>
      <c r="AA88" s="5" t="inlineStr">
        <is>
          <t>s00000020853003</t>
        </is>
      </c>
    </row>
    <row r="89">
      <c r="A89" s="5" t="n">
        <v>88</v>
      </c>
      <c r="B89" s="5" t="inlineStr">
        <is>
          <t>Vookキャリア（映像業界特化の転職支援）</t>
        </is>
      </c>
      <c r="C89" s="5" t="inlineStr">
        <is>
          <t>株式会社Vook</t>
        </is>
      </c>
      <c r="D89" s="5" t="inlineStr">
        <is>
          <t>映像・クリエイティブ業界</t>
        </is>
      </c>
      <c r="E89" s="5" t="inlineStr">
        <is>
          <t>映像クリエイター・ディレクター・PM等</t>
        </is>
      </c>
      <c r="F89" s="6" t="n">
        <v>15000</v>
      </c>
      <c r="G89" s="5" t="inlineStr">
        <is>
          <t>新規面談実施完了</t>
        </is>
      </c>
      <c r="H89" s="5" t="inlineStr">
        <is>
          <t>面談実施完了</t>
        </is>
      </c>
      <c r="I89" s="7" t="n"/>
      <c r="J89" s="6" t="n"/>
      <c r="K89" s="8">
        <f>IF(OR(F89="",I89=""),"",F89*I89)</f>
        <v/>
      </c>
      <c r="L89" s="5" t="inlineStr">
        <is>
          <t>90日</t>
        </is>
      </c>
      <c r="M89" s="5" t="inlineStr">
        <is>
          <t>約30日</t>
        </is>
      </c>
      <c r="N89" s="5" t="inlineStr">
        <is>
          <t>広告主新規／WEBより30日以内の面談実施完了</t>
        </is>
      </c>
      <c r="O89" s="5" t="inlineStr">
        <is>
          <t>虚偽・不正・キャンセル／リスティング違反</t>
        </is>
      </c>
      <c r="P89" s="5" t="inlineStr">
        <is>
          <t>NG</t>
        </is>
      </c>
      <c r="Q89" s="5" t="inlineStr">
        <is>
          <t>NG</t>
        </is>
      </c>
      <c r="R89" s="5" t="inlineStr">
        <is>
          <t>未確認</t>
        </is>
      </c>
      <c r="S89" s="5" t="inlineStr">
        <is>
          <t>未確認</t>
        </is>
      </c>
      <c r="T89" s="5" t="inlineStr">
        <is>
          <t>あり</t>
        </is>
      </c>
      <c r="U89" s="5" t="inlineStr">
        <is>
          <t>未確認</t>
        </is>
      </c>
      <c r="V89" s="5" t="inlineStr">
        <is>
          <t>要詳細分析</t>
        </is>
      </c>
      <c r="W89" s="5" t="inlineStr">
        <is>
          <t>映像業界特化の希少なニッチ案件。確定率・EPCとも非表示</t>
        </is>
      </c>
      <c r="X89" s="5" t="inlineStr">
        <is>
          <t>済（写真から入力、確定率・EPCデータなし）</t>
        </is>
      </c>
      <c r="Y89" s="5" t="inlineStr">
        <is>
          <t>A8.netプログラム詳細画面（ユーザー提供スクリーンショット）</t>
        </is>
      </c>
      <c r="Z89" s="5" t="inlineStr">
        <is>
          <t>2026-09-05</t>
        </is>
      </c>
      <c r="AA89" s="5" t="inlineStr">
        <is>
          <t>s00000027656001</t>
        </is>
      </c>
    </row>
    <row r="90">
      <c r="A90" s="5" t="n">
        <v>89</v>
      </c>
      <c r="B90" s="5" t="inlineStr">
        <is>
          <t>マーズキャリア（若手ハイクラス特化の転職支援）</t>
        </is>
      </c>
      <c r="C90" s="5" t="inlineStr">
        <is>
          <t>未確認</t>
        </is>
      </c>
      <c r="D90" s="5" t="inlineStr">
        <is>
          <t>ハイクラス(若手)</t>
        </is>
      </c>
      <c r="E90" s="5" t="inlineStr">
        <is>
          <t>20〜30代前半、年収500万円以上</t>
        </is>
      </c>
      <c r="F90" s="6" t="n">
        <v>15000</v>
      </c>
      <c r="G90" s="5" t="inlineStr">
        <is>
          <t>新規面談実施完了</t>
        </is>
      </c>
      <c r="H90" s="5" t="inlineStr">
        <is>
          <t>面談実施完了</t>
        </is>
      </c>
      <c r="I90" s="7" t="n"/>
      <c r="J90" s="6" t="n">
        <v>244.46</v>
      </c>
      <c r="K90" s="8">
        <f>IF(OR(F90="",I90=""),"",F90*I90)</f>
        <v/>
      </c>
      <c r="L90" s="5" t="inlineStr">
        <is>
          <t>90日</t>
        </is>
      </c>
      <c r="M90" s="5" t="inlineStr">
        <is>
          <t>約30日</t>
        </is>
      </c>
      <c r="N90" s="5" t="inlineStr">
        <is>
          <t>広告主新規／WEBより30日以内の面談実施完了</t>
        </is>
      </c>
      <c r="O90" s="5" t="inlineStr">
        <is>
          <t>虚偽・重複・キャンセル／リスティング違反</t>
        </is>
      </c>
      <c r="P90" s="5" t="inlineStr">
        <is>
          <t>NG</t>
        </is>
      </c>
      <c r="Q90" s="5" t="inlineStr">
        <is>
          <t>NG</t>
        </is>
      </c>
      <c r="R90" s="5" t="inlineStr">
        <is>
          <t>未確認</t>
        </is>
      </c>
      <c r="S90" s="5" t="inlineStr">
        <is>
          <t>未確認</t>
        </is>
      </c>
      <c r="T90" s="5" t="inlineStr">
        <is>
          <t>あり</t>
        </is>
      </c>
      <c r="U90" s="5" t="inlineStr">
        <is>
          <t>未確認</t>
        </is>
      </c>
      <c r="V90" s="5" t="inlineStr">
        <is>
          <t>要詳細分析</t>
        </is>
      </c>
      <c r="W90" s="5" t="inlineStr">
        <is>
          <t>EPC244.46円と比較的高水準。確定率は非表示</t>
        </is>
      </c>
      <c r="X90" s="5" t="inlineStr">
        <is>
          <t>済（写真から入力、確定率データなし）</t>
        </is>
      </c>
      <c r="Y90" s="5" t="inlineStr">
        <is>
          <t>A8.netプログラム詳細画面（ユーザー提供スクリーンショット）</t>
        </is>
      </c>
      <c r="Z90" s="5" t="inlineStr">
        <is>
          <t>2026-09-05</t>
        </is>
      </c>
      <c r="AA90" s="5" t="inlineStr">
        <is>
          <t>s00000027498001</t>
        </is>
      </c>
    </row>
    <row r="91">
      <c r="A91" s="5" t="n">
        <v>90</v>
      </c>
      <c r="B91" s="5" t="inlineStr">
        <is>
          <t>ゼイキャリ（税理士業界特化のハイクラス転職エージェント）</t>
        </is>
      </c>
      <c r="C91" s="5" t="inlineStr">
        <is>
          <t>マニュアル株式会社</t>
        </is>
      </c>
      <c r="D91" s="5" t="inlineStr">
        <is>
          <t>専門職(税理士)</t>
        </is>
      </c>
      <c r="E91" s="5" t="inlineStr">
        <is>
          <t>24〜45歳、税理士資格保有者</t>
        </is>
      </c>
      <c r="F91" s="6" t="n">
        <v>15000</v>
      </c>
      <c r="G91" s="5" t="inlineStr">
        <is>
          <t>新規面談実施完了</t>
        </is>
      </c>
      <c r="H91" s="5" t="inlineStr">
        <is>
          <t>面談実施完了</t>
        </is>
      </c>
      <c r="I91" s="7" t="n">
        <v>1</v>
      </c>
      <c r="J91" s="6" t="n"/>
      <c r="K91" s="8">
        <f>IF(OR(F91="",I91=""),"",F91*I91)</f>
        <v/>
      </c>
      <c r="L91" s="5" t="inlineStr">
        <is>
          <t>90日</t>
        </is>
      </c>
      <c r="M91" s="5" t="inlineStr">
        <is>
          <t>約30日</t>
        </is>
      </c>
      <c r="N91" s="5" t="inlineStr">
        <is>
          <t>広告主新規／WEBより30日以内の面談実施完了／税理士資格保有者</t>
        </is>
      </c>
      <c r="O91" s="5" t="inlineStr">
        <is>
          <t>虚偽・重複・キャンセル／リスティング違反</t>
        </is>
      </c>
      <c r="P91" s="5" t="inlineStr">
        <is>
          <t>NG</t>
        </is>
      </c>
      <c r="Q91" s="5" t="inlineStr">
        <is>
          <t>NG</t>
        </is>
      </c>
      <c r="R91" s="5" t="inlineStr">
        <is>
          <t>未確認</t>
        </is>
      </c>
      <c r="S91" s="5" t="inlineStr">
        <is>
          <t>未確認</t>
        </is>
      </c>
      <c r="T91" s="5" t="inlineStr">
        <is>
          <t>あり</t>
        </is>
      </c>
      <c r="U91" s="5" t="inlineStr">
        <is>
          <t>未確認</t>
        </is>
      </c>
      <c r="V91" s="5" t="inlineStr">
        <is>
          <t>要詳細分析</t>
        </is>
      </c>
      <c r="W91" s="5" t="inlineStr">
        <is>
          <t>確定率100%表示だがEPCは非表示のため到達数の実態は不明</t>
        </is>
      </c>
      <c r="X91" s="5" t="inlineStr">
        <is>
          <t>済（写真から入力、EPCデータなし）</t>
        </is>
      </c>
      <c r="Y91" s="5" t="inlineStr">
        <is>
          <t>A8.netプログラム詳細画面（ユーザー提供スクリーンショット）</t>
        </is>
      </c>
      <c r="Z91" s="5" t="inlineStr">
        <is>
          <t>2026-09-05</t>
        </is>
      </c>
      <c r="AA91" s="5" t="inlineStr">
        <is>
          <t>s00000027080001</t>
        </is>
      </c>
    </row>
    <row r="92">
      <c r="A92" s="5" t="n">
        <v>91</v>
      </c>
      <c r="B92" s="5" t="inlineStr">
        <is>
          <t>ANNA（20〜30代グロースキャリア向け業界横断型キャリア設計）</t>
        </is>
      </c>
      <c r="C92" s="5" t="inlineStr">
        <is>
          <t>株式会社フリーキャリア</t>
        </is>
      </c>
      <c r="D92" s="5" t="inlineStr">
        <is>
          <t>ハイクラス(業界横断)</t>
        </is>
      </c>
      <c r="E92" s="5" t="inlineStr">
        <is>
          <t>20〜35歳</t>
        </is>
      </c>
      <c r="F92" s="6" t="n">
        <v>15000</v>
      </c>
      <c r="G92" s="5" t="inlineStr">
        <is>
          <t>新規会員登録</t>
        </is>
      </c>
      <c r="H92" s="5" t="inlineStr">
        <is>
          <t>会員登録完了</t>
        </is>
      </c>
      <c r="I92" s="7" t="n"/>
      <c r="J92" s="6" t="n"/>
      <c r="K92" s="8">
        <f>IF(OR(F92="",I92=""),"",F92*I92)</f>
        <v/>
      </c>
      <c r="L92" s="5" t="inlineStr">
        <is>
          <t>90日</t>
        </is>
      </c>
      <c r="M92" s="5" t="inlineStr">
        <is>
          <t>約30日</t>
        </is>
      </c>
      <c r="N92" s="5" t="inlineStr">
        <is>
          <t>広告主新規／WEBより30日以内の会員登録完了</t>
        </is>
      </c>
      <c r="O92" s="5" t="inlineStr">
        <is>
          <t>重複・不正・データ不備／リスティング違反</t>
        </is>
      </c>
      <c r="P92" s="5" t="inlineStr">
        <is>
          <t>NG</t>
        </is>
      </c>
      <c r="Q92" s="5" t="inlineStr">
        <is>
          <t>NG</t>
        </is>
      </c>
      <c r="R92" s="5" t="inlineStr">
        <is>
          <t>未確認</t>
        </is>
      </c>
      <c r="S92" s="5" t="inlineStr">
        <is>
          <t>未確認</t>
        </is>
      </c>
      <c r="T92" s="5" t="inlineStr">
        <is>
          <t>あり</t>
        </is>
      </c>
      <c r="U92" s="5" t="inlineStr">
        <is>
          <t>未確認</t>
        </is>
      </c>
      <c r="V92" s="5" t="inlineStr">
        <is>
          <t>要詳細分析</t>
        </is>
      </c>
      <c r="W92" s="5" t="inlineStr">
        <is>
          <t>業界横断型のキャリア設計エージェント。確定率・EPCとも非表示</t>
        </is>
      </c>
      <c r="X92" s="5" t="inlineStr">
        <is>
          <t>済（写真から入力、確定率・EPCデータなし）</t>
        </is>
      </c>
      <c r="Y92" s="5" t="inlineStr">
        <is>
          <t>A8.netプログラム詳細画面（ユーザー提供スクリーンショット）</t>
        </is>
      </c>
      <c r="Z92" s="5" t="inlineStr">
        <is>
          <t>2026-09-05</t>
        </is>
      </c>
      <c r="AA92" s="5" t="inlineStr">
        <is>
          <t>s00000027013001</t>
        </is>
      </c>
    </row>
    <row r="93">
      <c r="A93" s="5" t="n">
        <v>92</v>
      </c>
      <c r="B93" s="5" t="inlineStr">
        <is>
          <t>SAPテンショク（SAPコンサルタント・SAPエンジニア特化）</t>
        </is>
      </c>
      <c r="C93" s="5" t="inlineStr">
        <is>
          <t>株式会社スラッシュエンジニアリング</t>
        </is>
      </c>
      <c r="D93" s="5" t="inlineStr">
        <is>
          <t>IT(SAP専門)</t>
        </is>
      </c>
      <c r="E93" s="5" t="inlineStr">
        <is>
          <t>SAPコンサルタント・SAPエンジニア経験者</t>
        </is>
      </c>
      <c r="F93" s="6" t="n">
        <v>15000</v>
      </c>
      <c r="G93" s="5" t="inlineStr">
        <is>
          <t>新規転職相談</t>
        </is>
      </c>
      <c r="H93" s="5" t="inlineStr">
        <is>
          <t>転職相談完了</t>
        </is>
      </c>
      <c r="I93" s="7" t="n">
        <v>0.3636</v>
      </c>
      <c r="J93" s="6" t="n"/>
      <c r="K93" s="8">
        <f>IF(OR(F93="",I93=""),"",F93*I93)</f>
        <v/>
      </c>
      <c r="L93" s="5" t="inlineStr">
        <is>
          <t>90日</t>
        </is>
      </c>
      <c r="M93" s="5" t="inlineStr">
        <is>
          <t>約30日</t>
        </is>
      </c>
      <c r="N93" s="5" t="inlineStr">
        <is>
          <t>広告主新規／WEBより30日以内のカウンセリング完了</t>
        </is>
      </c>
      <c r="O93" s="5" t="inlineStr">
        <is>
          <t>虚偽・不正・重複／50歳以上の申込／リスティング違反</t>
        </is>
      </c>
      <c r="P93" s="5" t="inlineStr">
        <is>
          <t>NG</t>
        </is>
      </c>
      <c r="Q93" s="5" t="inlineStr">
        <is>
          <t>NG</t>
        </is>
      </c>
      <c r="R93" s="5" t="inlineStr">
        <is>
          <t>未確認</t>
        </is>
      </c>
      <c r="S93" s="5" t="inlineStr">
        <is>
          <t>未確認</t>
        </is>
      </c>
      <c r="T93" s="5" t="inlineStr">
        <is>
          <t>あり</t>
        </is>
      </c>
      <c r="U93" s="5" t="inlineStr">
        <is>
          <t>未確認</t>
        </is>
      </c>
      <c r="V93" s="5" t="inlineStr">
        <is>
          <t>要詳細分析</t>
        </is>
      </c>
      <c r="W93" s="5" t="inlineStr">
        <is>
          <t>同一広告主のSAPフリーランスバンクと対をなす正社員転職版。確定率36.36%、EPCは非表示</t>
        </is>
      </c>
      <c r="X93" s="5" t="inlineStr">
        <is>
          <t>済（写真から入力、EPCデータなし）</t>
        </is>
      </c>
      <c r="Y93" s="5" t="inlineStr">
        <is>
          <t>A8.netプログラム詳細画面（ユーザー提供スクリーンショット）</t>
        </is>
      </c>
      <c r="Z93" s="5" t="inlineStr">
        <is>
          <t>2026-09-05</t>
        </is>
      </c>
      <c r="AA93" s="5" t="inlineStr">
        <is>
          <t>s00000026342002</t>
        </is>
      </c>
    </row>
    <row r="94">
      <c r="A94" s="5" t="n">
        <v>93</v>
      </c>
      <c r="B94" s="5" t="inlineStr">
        <is>
          <t>HIGHFIVE（クリエイティブ専門の転職エージェント）</t>
        </is>
      </c>
      <c r="C94" s="5" t="inlineStr">
        <is>
          <t>未確認</t>
        </is>
      </c>
      <c r="D94" s="5" t="inlineStr">
        <is>
          <t>クリエイティブ業界</t>
        </is>
      </c>
      <c r="E94" s="5" t="inlineStr">
        <is>
          <t>20〜49歳、クリエイティブ職</t>
        </is>
      </c>
      <c r="F94" s="6" t="n">
        <v>15000</v>
      </c>
      <c r="G94" s="5" t="inlineStr">
        <is>
          <t>新規登録</t>
        </is>
      </c>
      <c r="H94" s="5" t="inlineStr">
        <is>
          <t>登録完了</t>
        </is>
      </c>
      <c r="I94" s="7" t="n">
        <v>0.4166</v>
      </c>
      <c r="J94" s="6" t="n">
        <v>112.78</v>
      </c>
      <c r="K94" s="8">
        <f>IF(OR(F94="",I94=""),"",F94*I94)</f>
        <v/>
      </c>
      <c r="L94" s="5" t="inlineStr">
        <is>
          <t>90日</t>
        </is>
      </c>
      <c r="M94" s="5" t="inlineStr">
        <is>
          <t>約30日</t>
        </is>
      </c>
      <c r="N94" s="5" t="inlineStr">
        <is>
          <t>広告主新規／WEBより30日以内の登録完了</t>
        </is>
      </c>
      <c r="O94" s="5" t="inlineStr">
        <is>
          <t>虚偽・重複・キャンセル／リスティング違反</t>
        </is>
      </c>
      <c r="P94" s="5" t="inlineStr">
        <is>
          <t>NG</t>
        </is>
      </c>
      <c r="Q94" s="5" t="inlineStr">
        <is>
          <t>NG</t>
        </is>
      </c>
      <c r="R94" s="5" t="inlineStr">
        <is>
          <t>未確認</t>
        </is>
      </c>
      <c r="S94" s="5" t="inlineStr">
        <is>
          <t>未確認</t>
        </is>
      </c>
      <c r="T94" s="5" t="inlineStr">
        <is>
          <t>あり</t>
        </is>
      </c>
      <c r="U94" s="5" t="inlineStr">
        <is>
          <t>未確認</t>
        </is>
      </c>
      <c r="V94" s="5" t="inlineStr">
        <is>
          <t>要詳細分析</t>
        </is>
      </c>
      <c r="W94" s="5" t="inlineStr">
        <is>
          <t>「量より質」を訴求するクリエイティブ職特化エージェント</t>
        </is>
      </c>
      <c r="X94" s="5" t="inlineStr">
        <is>
          <t>済（写真から入力）</t>
        </is>
      </c>
      <c r="Y94" s="5" t="inlineStr">
        <is>
          <t>A8.netプログラム詳細画面（ユーザー提供スクリーンショット）</t>
        </is>
      </c>
      <c r="Z94" s="5" t="inlineStr">
        <is>
          <t>2026-09-05</t>
        </is>
      </c>
      <c r="AA94" s="5" t="inlineStr">
        <is>
          <t>s00000025215001</t>
        </is>
      </c>
    </row>
    <row r="95">
      <c r="A95" s="5" t="n">
        <v>94</v>
      </c>
      <c r="B95" s="5" t="inlineStr">
        <is>
          <t>アドキャリ（広告運用者のための転職サービス）</t>
        </is>
      </c>
      <c r="C95" s="5" t="inlineStr">
        <is>
          <t>Hype_Agency株式会社</t>
        </is>
      </c>
      <c r="D95" s="5" t="inlineStr">
        <is>
          <t>専門職(広告運用)</t>
        </is>
      </c>
      <c r="E95" s="5" t="inlineStr">
        <is>
          <t>20〜30代の広告運用者</t>
        </is>
      </c>
      <c r="F95" s="6" t="n">
        <v>15000</v>
      </c>
      <c r="G95" s="5" t="inlineStr">
        <is>
          <t>新規登録</t>
        </is>
      </c>
      <c r="H95" s="5" t="inlineStr">
        <is>
          <t>登録完了</t>
        </is>
      </c>
      <c r="I95" s="7" t="n">
        <v>0.6666</v>
      </c>
      <c r="J95" s="6" t="n"/>
      <c r="K95" s="8">
        <f>IF(OR(F95="",I95=""),"",F95*I95)</f>
        <v/>
      </c>
      <c r="L95" s="5" t="inlineStr">
        <is>
          <t>90日</t>
        </is>
      </c>
      <c r="M95" s="5" t="inlineStr">
        <is>
          <t>約30日</t>
        </is>
      </c>
      <c r="N95" s="5" t="inlineStr">
        <is>
          <t>広告主新規／WEBより30日以内のキャリアカウンセリング完了</t>
        </is>
      </c>
      <c r="O95" s="5" t="inlineStr">
        <is>
          <t>虚偽・不正・入力不備／リスティング違反</t>
        </is>
      </c>
      <c r="P95" s="5" t="inlineStr">
        <is>
          <t>NG</t>
        </is>
      </c>
      <c r="Q95" s="5" t="inlineStr">
        <is>
          <t>NG</t>
        </is>
      </c>
      <c r="R95" s="5" t="inlineStr">
        <is>
          <t>未確認</t>
        </is>
      </c>
      <c r="S95" s="5" t="inlineStr">
        <is>
          <t>未確認</t>
        </is>
      </c>
      <c r="T95" s="5" t="inlineStr">
        <is>
          <t>あり</t>
        </is>
      </c>
      <c r="U95" s="5" t="inlineStr">
        <is>
          <t>未確認</t>
        </is>
      </c>
      <c r="V95" s="5" t="inlineStr">
        <is>
          <t>要詳細分析</t>
        </is>
      </c>
      <c r="W95" s="5" t="inlineStr">
        <is>
          <t>確定率66.66%と高水準だがEPCは非表示。広告運用者という専門ニッチ職種特化</t>
        </is>
      </c>
      <c r="X95" s="5" t="inlineStr">
        <is>
          <t>済（写真から入力、EPCデータなし）</t>
        </is>
      </c>
      <c r="Y95" s="5" t="inlineStr">
        <is>
          <t>A8.netプログラム詳細画面（ユーザー提供スクリーンショット）</t>
        </is>
      </c>
      <c r="Z95" s="5" t="inlineStr">
        <is>
          <t>2026-09-05</t>
        </is>
      </c>
      <c r="AA95" s="5" t="inlineStr">
        <is>
          <t>s00000024170001</t>
        </is>
      </c>
    </row>
    <row r="96">
      <c r="A96" s="5" t="n">
        <v>95</v>
      </c>
      <c r="B96" s="5" t="inlineStr">
        <is>
          <t>ゼロイチ転職（第二新卒・既卒の完全オーダーメイド就職）</t>
        </is>
      </c>
      <c r="C96" s="5" t="inlineStr">
        <is>
          <t>DIG_UP_CAREER株式会社</t>
        </is>
      </c>
      <c r="D96" s="5" t="inlineStr">
        <is>
          <t>第二新卒・既卒</t>
        </is>
      </c>
      <c r="E96" s="5" t="inlineStr">
        <is>
          <t>20代</t>
        </is>
      </c>
      <c r="F96" s="6" t="n">
        <v>15000</v>
      </c>
      <c r="G96" s="5" t="inlineStr">
        <is>
          <t>新規登録</t>
        </is>
      </c>
      <c r="H96" s="5" t="inlineStr">
        <is>
          <t>登録完了</t>
        </is>
      </c>
      <c r="I96" s="7" t="n"/>
      <c r="J96" s="6" t="n"/>
      <c r="K96" s="8">
        <f>IF(OR(F96="",I96=""),"",F96*I96)</f>
        <v/>
      </c>
      <c r="L96" s="5" t="inlineStr">
        <is>
          <t>90日</t>
        </is>
      </c>
      <c r="M96" s="5" t="inlineStr">
        <is>
          <t>約30日</t>
        </is>
      </c>
      <c r="N96" s="5" t="inlineStr">
        <is>
          <t>広告主新規／WEBより45日以内のコンサルタント面談完了</t>
        </is>
      </c>
      <c r="O96" s="5" t="inlineStr">
        <is>
          <t>キャンセル・不正・なりすまし／リスティング違反</t>
        </is>
      </c>
      <c r="P96" s="5" t="inlineStr">
        <is>
          <t>NG</t>
        </is>
      </c>
      <c r="Q96" s="5" t="inlineStr">
        <is>
          <t>NG</t>
        </is>
      </c>
      <c r="R96" s="5" t="inlineStr">
        <is>
          <t>未確認</t>
        </is>
      </c>
      <c r="S96" s="5" t="inlineStr">
        <is>
          <t>未確認</t>
        </is>
      </c>
      <c r="T96" s="5" t="inlineStr">
        <is>
          <t>あり</t>
        </is>
      </c>
      <c r="U96" s="5" t="inlineStr">
        <is>
          <t>未確認</t>
        </is>
      </c>
      <c r="V96" s="5" t="inlineStr">
        <is>
          <t>要詳細分析</t>
        </is>
      </c>
      <c r="W96" s="5" t="inlineStr">
        <is>
          <t>完全オーダーメイド型の就職サポートを訴求。確定率・EPCとも非表示</t>
        </is>
      </c>
      <c r="X96" s="5" t="inlineStr">
        <is>
          <t>済（写真から入力、確定率・EPCデータなし）</t>
        </is>
      </c>
      <c r="Y96" s="5" t="inlineStr">
        <is>
          <t>A8.netプログラム詳細画面（ユーザー提供スクリーンショット）</t>
        </is>
      </c>
      <c r="Z96" s="5" t="inlineStr">
        <is>
          <t>2026-09-05</t>
        </is>
      </c>
      <c r="AA96" s="5" t="inlineStr">
        <is>
          <t>s00000023866002</t>
        </is>
      </c>
    </row>
    <row r="97">
      <c r="A97" s="5" t="n">
        <v>96</v>
      </c>
      <c r="B97" s="5" t="inlineStr">
        <is>
          <t>アポプラス薬剤師（東証プライム上場グループの薬剤師転職）</t>
        </is>
      </c>
      <c r="C97" s="5" t="inlineStr">
        <is>
          <t>アポプラス株式会社</t>
        </is>
      </c>
      <c r="D97" s="5" t="inlineStr">
        <is>
          <t>医療(薬剤師)</t>
        </is>
      </c>
      <c r="E97" s="5" t="inlineStr">
        <is>
          <t>薬剤師資格保有者</t>
        </is>
      </c>
      <c r="F97" s="6" t="n">
        <v>20000</v>
      </c>
      <c r="G97" s="5" t="inlineStr">
        <is>
          <t>新規お問い合わせ</t>
        </is>
      </c>
      <c r="H97" s="5" t="inlineStr">
        <is>
          <t>問い合わせ完了</t>
        </is>
      </c>
      <c r="I97" s="7" t="n">
        <v>0.5724</v>
      </c>
      <c r="J97" s="6" t="n">
        <v>173.03</v>
      </c>
      <c r="K97" s="8">
        <f>IF(OR(F97="",I97=""),"",F97*I97)</f>
        <v/>
      </c>
      <c r="L97" s="5" t="inlineStr">
        <is>
          <t>90日</t>
        </is>
      </c>
      <c r="M97" s="5" t="inlineStr">
        <is>
          <t>約30日</t>
        </is>
      </c>
      <c r="N97" s="5" t="inlineStr">
        <is>
          <t>広告主新規／WEBよりお問い合わせ完了</t>
        </is>
      </c>
      <c r="O97" s="5" t="inlineStr">
        <is>
          <t>虚偽・重複・キャンセル／リスティング違反</t>
        </is>
      </c>
      <c r="P97" s="5" t="inlineStr">
        <is>
          <t>NG</t>
        </is>
      </c>
      <c r="Q97" s="5" t="inlineStr">
        <is>
          <t>NG</t>
        </is>
      </c>
      <c r="R97" s="5" t="inlineStr">
        <is>
          <t>未確認</t>
        </is>
      </c>
      <c r="S97" s="5" t="inlineStr">
        <is>
          <t>未確認</t>
        </is>
      </c>
      <c r="T97" s="5" t="inlineStr">
        <is>
          <t>あり</t>
        </is>
      </c>
      <c r="U97" s="5" t="inlineStr">
        <is>
          <t>未確認</t>
        </is>
      </c>
      <c r="V97" s="5" t="inlineStr">
        <is>
          <t>要詳細分析</t>
        </is>
      </c>
      <c r="W97" s="5" t="inlineStr">
        <is>
          <t>報酬20,000円と薬剤師系の中では高水準。30年の実績・実証プライム市場上場を訴求</t>
        </is>
      </c>
      <c r="X97" s="5" t="inlineStr">
        <is>
          <t>済（写真から入力）</t>
        </is>
      </c>
      <c r="Y97" s="5" t="inlineStr">
        <is>
          <t>A8.netプログラム詳細画面（ユーザー提供スクリーンショット）</t>
        </is>
      </c>
      <c r="Z97" s="5" t="inlineStr">
        <is>
          <t>2026-09-05</t>
        </is>
      </c>
      <c r="AA97" s="5" t="inlineStr">
        <is>
          <t>s00000023690001</t>
        </is>
      </c>
    </row>
    <row r="98">
      <c r="A98" s="5" t="n">
        <v>97</v>
      </c>
      <c r="B98" s="5" t="inlineStr">
        <is>
          <t>ナースではたらこ（看護師特化の会員登録）</t>
        </is>
      </c>
      <c r="C98" s="5" t="inlineStr">
        <is>
          <t>ディップ株式会社</t>
        </is>
      </c>
      <c r="D98" s="5" t="inlineStr">
        <is>
          <t>医療(看護師)</t>
        </is>
      </c>
      <c r="E98" s="5" t="inlineStr">
        <is>
          <t>看護師資格保有者</t>
        </is>
      </c>
      <c r="F98" s="6" t="n">
        <v>15000</v>
      </c>
      <c r="G98" s="5" t="inlineStr">
        <is>
          <t>新規会員登録</t>
        </is>
      </c>
      <c r="H98" s="5" t="inlineStr">
        <is>
          <t>会員登録完了</t>
        </is>
      </c>
      <c r="I98" s="7" t="n">
        <v>0.7669</v>
      </c>
      <c r="J98" s="6" t="n">
        <v>207.77</v>
      </c>
      <c r="K98" s="8">
        <f>IF(OR(F98="",I98=""),"",F98*I98)</f>
        <v/>
      </c>
      <c r="L98" s="5" t="inlineStr">
        <is>
          <t>90日</t>
        </is>
      </c>
      <c r="M98" s="5" t="inlineStr">
        <is>
          <t>約30日</t>
        </is>
      </c>
      <c r="N98" s="5" t="inlineStr">
        <is>
          <t>WEBより会員登録後14日以内の本人確認完了</t>
        </is>
      </c>
      <c r="O98" s="5" t="inlineStr">
        <is>
          <t>重複登録・不備・本人以外の登録・虚偽／リスティング違反</t>
        </is>
      </c>
      <c r="P98" s="5" t="inlineStr">
        <is>
          <t>NG</t>
        </is>
      </c>
      <c r="Q98" s="5" t="inlineStr">
        <is>
          <t>NG</t>
        </is>
      </c>
      <c r="R98" s="5" t="inlineStr">
        <is>
          <t>未確認</t>
        </is>
      </c>
      <c r="S98" s="5" t="inlineStr">
        <is>
          <t>未確認</t>
        </is>
      </c>
      <c r="T98" s="5" t="inlineStr">
        <is>
          <t>あり</t>
        </is>
      </c>
      <c r="U98" s="5" t="inlineStr">
        <is>
          <t>未確認</t>
        </is>
      </c>
      <c r="V98" s="5" t="inlineStr">
        <is>
          <t>要詳細分析</t>
        </is>
      </c>
      <c r="W98" s="5" t="inlineStr">
        <is>
          <t>確定率76.69%・EPC207.77円と堅実な水準</t>
        </is>
      </c>
      <c r="X98" s="5" t="inlineStr">
        <is>
          <t>済（写真から入力）</t>
        </is>
      </c>
      <c r="Y98" s="5" t="inlineStr">
        <is>
          <t>A8.netプログラム詳細画面（ユーザー提供スクリーンショット）</t>
        </is>
      </c>
      <c r="Z98" s="5" t="inlineStr">
        <is>
          <t>2026-09-05</t>
        </is>
      </c>
      <c r="AA98" s="5" t="inlineStr">
        <is>
          <t>s00000009027008</t>
        </is>
      </c>
    </row>
    <row r="99">
      <c r="A99" s="5" t="n">
        <v>98</v>
      </c>
      <c r="B99" s="5" t="inlineStr">
        <is>
          <t>GEECHS JOB（フリーランスITエンジニア案件・求人紹介）</t>
        </is>
      </c>
      <c r="C99" s="5" t="inlineStr">
        <is>
          <t>株式会社ギークスジョブ</t>
        </is>
      </c>
      <c r="D99" s="5" t="inlineStr">
        <is>
          <t>IT(フリーランスエンジニア)</t>
        </is>
      </c>
      <c r="E99" s="5" t="inlineStr">
        <is>
          <t>フリーランスITエンジニア</t>
        </is>
      </c>
      <c r="F99" s="6" t="n">
        <v>20000</v>
      </c>
      <c r="G99" s="5" t="inlineStr">
        <is>
          <t>WEBエントリー</t>
        </is>
      </c>
      <c r="H99" s="5" t="inlineStr">
        <is>
          <t>エントリー完了</t>
        </is>
      </c>
      <c r="I99" s="7" t="n">
        <v>0.3333</v>
      </c>
      <c r="J99" s="6" t="n">
        <v>351.85</v>
      </c>
      <c r="K99" s="8">
        <f>IF(OR(F99="",I99=""),"",F99*I99)</f>
        <v/>
      </c>
      <c r="L99" s="5" t="inlineStr">
        <is>
          <t>90日</t>
        </is>
      </c>
      <c r="M99" s="5" t="inlineStr">
        <is>
          <t>約30日</t>
        </is>
      </c>
      <c r="N99" s="5" t="inlineStr">
        <is>
          <t>15日以内にオンライン面談を実施完了</t>
        </is>
      </c>
      <c r="O99" s="5" t="inlineStr">
        <is>
          <t>重複登録・虚偽・本人以外の登録／リスティング違反</t>
        </is>
      </c>
      <c r="P99" s="5" t="inlineStr">
        <is>
          <t>NG</t>
        </is>
      </c>
      <c r="Q99" s="5" t="inlineStr">
        <is>
          <t>NG</t>
        </is>
      </c>
      <c r="R99" s="5" t="inlineStr">
        <is>
          <t>未確認</t>
        </is>
      </c>
      <c r="S99" s="5" t="inlineStr">
        <is>
          <t>未確認</t>
        </is>
      </c>
      <c r="T99" s="5" t="inlineStr">
        <is>
          <t>あり</t>
        </is>
      </c>
      <c r="U99" s="5" t="inlineStr">
        <is>
          <t>未確認</t>
        </is>
      </c>
      <c r="V99" s="5" t="inlineStr">
        <is>
          <t>要詳細分析</t>
        </is>
      </c>
      <c r="W99" s="5" t="inlineStr">
        <is>
          <t>業界20年の実績。確定率33.33%・EPC351.85円</t>
        </is>
      </c>
      <c r="X99" s="5" t="inlineStr">
        <is>
          <t>済（写真から入力）</t>
        </is>
      </c>
      <c r="Y99" s="5" t="inlineStr">
        <is>
          <t>A8.netプログラム詳細画面（ユーザー提供スクリーンショット）</t>
        </is>
      </c>
      <c r="Z99" s="5" t="inlineStr">
        <is>
          <t>2026-09-05</t>
        </is>
      </c>
      <c r="AA99" s="5" t="inlineStr">
        <is>
          <t>s00000012501001</t>
        </is>
      </c>
    </row>
    <row r="100">
      <c r="A100" s="5" t="n">
        <v>99</v>
      </c>
      <c r="B100" s="5" t="inlineStr">
        <is>
          <t>第二新卒エージェントneo（第二新卒・既卒・フリーター）</t>
        </is>
      </c>
      <c r="C100" s="5" t="inlineStr">
        <is>
          <t>株式会社ネオキャリア</t>
        </is>
      </c>
      <c r="D100" s="5" t="inlineStr">
        <is>
          <t>第二新卒・既卒</t>
        </is>
      </c>
      <c r="E100" s="5" t="inlineStr">
        <is>
          <t>第二新卒・既卒・フリーター</t>
        </is>
      </c>
      <c r="F100" s="6" t="n">
        <v>15000</v>
      </c>
      <c r="G100" s="5" t="inlineStr">
        <is>
          <t>新規カウンセリング実施</t>
        </is>
      </c>
      <c r="H100" s="5" t="inlineStr">
        <is>
          <t>カウンセリング実施完了</t>
        </is>
      </c>
      <c r="I100" s="7" t="n">
        <v>0.5493</v>
      </c>
      <c r="J100" s="6" t="n">
        <v>204.74</v>
      </c>
      <c r="K100" s="8">
        <f>IF(OR(F100="",I100=""),"",F100*I100)</f>
        <v/>
      </c>
      <c r="L100" s="5" t="inlineStr">
        <is>
          <t>90日</t>
        </is>
      </c>
      <c r="M100" s="5" t="inlineStr">
        <is>
          <t>約30日</t>
        </is>
      </c>
      <c r="N100" s="5" t="inlineStr">
        <is>
          <t>WEBより30日以内のカウンセリング実施完了</t>
        </is>
      </c>
      <c r="O100" s="5" t="inlineStr">
        <is>
          <t>重複・虚偽・キャンセル／リスティング違反</t>
        </is>
      </c>
      <c r="P100" s="5" t="inlineStr">
        <is>
          <t>NG</t>
        </is>
      </c>
      <c r="Q100" s="5" t="inlineStr">
        <is>
          <t>NG</t>
        </is>
      </c>
      <c r="R100" s="5" t="inlineStr">
        <is>
          <t>未確認</t>
        </is>
      </c>
      <c r="S100" s="5" t="inlineStr">
        <is>
          <t>未確認</t>
        </is>
      </c>
      <c r="T100" s="5" t="inlineStr">
        <is>
          <t>あり</t>
        </is>
      </c>
      <c r="U100" s="5" t="inlineStr">
        <is>
          <t>未確認</t>
        </is>
      </c>
      <c r="V100" s="5" t="inlineStr">
        <is>
          <t>要詳細分析</t>
        </is>
      </c>
      <c r="W100" s="5" t="inlineStr">
        <is>
          <t>書類通過率94.7%を訴求。確定率54.93%・EPC204.74円</t>
        </is>
      </c>
      <c r="X100" s="5" t="inlineStr">
        <is>
          <t>済（写真から入力）</t>
        </is>
      </c>
      <c r="Y100" s="5" t="inlineStr">
        <is>
          <t>A8.netプログラム詳細画面（ユーザー提供スクリーンショット）</t>
        </is>
      </c>
      <c r="Z100" s="5" t="inlineStr">
        <is>
          <t>2026-09-05</t>
        </is>
      </c>
      <c r="AA100" s="5" t="inlineStr">
        <is>
          <t>s00000018472001</t>
        </is>
      </c>
    </row>
    <row r="101">
      <c r="A101" s="5" t="n">
        <v>100</v>
      </c>
      <c r="B101" s="5" t="inlineStr">
        <is>
          <t>トキハナキャリア（ブライダル業界特化の転職エージェント）</t>
        </is>
      </c>
      <c r="C101" s="5" t="inlineStr">
        <is>
          <t>株式会社トキハナ</t>
        </is>
      </c>
      <c r="D101" s="5" t="inlineStr">
        <is>
          <t>ブライダル業界</t>
        </is>
      </c>
      <c r="E101" s="5" t="inlineStr">
        <is>
          <t>ブライダル業界経験者、45歳以下</t>
        </is>
      </c>
      <c r="F101" s="6" t="n">
        <v>15000</v>
      </c>
      <c r="G101" s="5" t="inlineStr">
        <is>
          <t>新規面談実施完了</t>
        </is>
      </c>
      <c r="H101" s="5" t="inlineStr">
        <is>
          <t>面談実施完了</t>
        </is>
      </c>
      <c r="I101" s="7" t="n"/>
      <c r="J101" s="6" t="n"/>
      <c r="K101" s="8">
        <f>IF(OR(F101="",I101=""),"",F101*I101)</f>
        <v/>
      </c>
      <c r="L101" s="5" t="inlineStr">
        <is>
          <t>90日</t>
        </is>
      </c>
      <c r="M101" s="5" t="inlineStr">
        <is>
          <t>約30日</t>
        </is>
      </c>
      <c r="N101" s="5" t="inlineStr">
        <is>
          <t>WEBより30日以内の面談実施完了／45歳以下の正社員転職希望者</t>
        </is>
      </c>
      <c r="O101" s="5" t="inlineStr">
        <is>
          <t>いたずら・重複・キャンセル・不正／1世帯2回以上／リスティング違反</t>
        </is>
      </c>
      <c r="P101" s="5" t="inlineStr">
        <is>
          <t>NG</t>
        </is>
      </c>
      <c r="Q101" s="5" t="inlineStr">
        <is>
          <t>NG</t>
        </is>
      </c>
      <c r="R101" s="5" t="inlineStr">
        <is>
          <t>未確認</t>
        </is>
      </c>
      <c r="S101" s="5" t="inlineStr">
        <is>
          <t>未確認</t>
        </is>
      </c>
      <c r="T101" s="5" t="inlineStr">
        <is>
          <t>あり</t>
        </is>
      </c>
      <c r="U101" s="5" t="inlineStr">
        <is>
          <t>未確認</t>
        </is>
      </c>
      <c r="V101" s="5" t="inlineStr">
        <is>
          <t>要詳細分析</t>
        </is>
      </c>
      <c r="W101" s="5" t="inlineStr">
        <is>
          <t>ブライダル業界特化の希少なニッチ案件。確定率・EPCとも非表示</t>
        </is>
      </c>
      <c r="X101" s="5" t="inlineStr">
        <is>
          <t>済（写真から入力、確定率・EPCデータなし）</t>
        </is>
      </c>
      <c r="Y101" s="5" t="inlineStr">
        <is>
          <t>A8.netプログラム詳細画面（ユーザー提供スクリーンショット）</t>
        </is>
      </c>
      <c r="Z101" s="5" t="inlineStr">
        <is>
          <t>2026-09-05</t>
        </is>
      </c>
      <c r="AA101" s="5" t="inlineStr">
        <is>
          <t>s00000021923003</t>
        </is>
      </c>
    </row>
    <row r="102">
      <c r="A102" s="5" t="n">
        <v>101</v>
      </c>
      <c r="B102" s="5" t="inlineStr">
        <is>
          <t>Groovement Agent（コンサル・DX・スタートアップ特化）</t>
        </is>
      </c>
      <c r="C102" s="5" t="inlineStr">
        <is>
          <t>株式会社groovement</t>
        </is>
      </c>
      <c r="D102" s="5" t="inlineStr">
        <is>
          <t>コンサル・DX・スタートアップ</t>
        </is>
      </c>
      <c r="E102" s="5" t="inlineStr">
        <is>
          <t>24〜34歳、日本国内在住</t>
        </is>
      </c>
      <c r="F102" s="6" t="n">
        <v>15000</v>
      </c>
      <c r="G102" s="5" t="inlineStr">
        <is>
          <t>新規無料相談実施</t>
        </is>
      </c>
      <c r="H102" s="5" t="inlineStr">
        <is>
          <t>無料相談実施完了</t>
        </is>
      </c>
      <c r="I102" s="7" t="n">
        <v>0.2727</v>
      </c>
      <c r="J102" s="6" t="n">
        <v>78.94</v>
      </c>
      <c r="K102" s="8">
        <f>IF(OR(F102="",I102=""),"",F102*I102)</f>
        <v/>
      </c>
      <c r="L102" s="5" t="inlineStr">
        <is>
          <t>90日</t>
        </is>
      </c>
      <c r="M102" s="5" t="inlineStr">
        <is>
          <t>約30日</t>
        </is>
      </c>
      <c r="N102" s="5" t="inlineStr">
        <is>
          <t>WEBより14日以内のカウンセリング完了／学生不可・24〜34歳・国内在住</t>
        </is>
      </c>
      <c r="O102" s="5" t="inlineStr">
        <is>
          <t>虚偽・申込不備・キャンセル／リスティング違反</t>
        </is>
      </c>
      <c r="P102" s="5" t="inlineStr">
        <is>
          <t>NG</t>
        </is>
      </c>
      <c r="Q102" s="5" t="inlineStr">
        <is>
          <t>NG</t>
        </is>
      </c>
      <c r="R102" s="5" t="inlineStr">
        <is>
          <t>未確認</t>
        </is>
      </c>
      <c r="S102" s="5" t="inlineStr">
        <is>
          <t>未確認</t>
        </is>
      </c>
      <c r="T102" s="5" t="inlineStr">
        <is>
          <t>あり</t>
        </is>
      </c>
      <c r="U102" s="5" t="inlineStr">
        <is>
          <t>未確認</t>
        </is>
      </c>
      <c r="V102" s="5" t="inlineStr">
        <is>
          <t>要詳細分析</t>
        </is>
      </c>
      <c r="W102" s="5" t="inlineStr">
        <is>
          <t>年収1,200万円以上のハイクラス転職を訴求。確定率27.27%・EPC78.94円</t>
        </is>
      </c>
      <c r="X102" s="5" t="inlineStr">
        <is>
          <t>済（写真から入力）</t>
        </is>
      </c>
      <c r="Y102" s="5" t="inlineStr">
        <is>
          <t>A8.netプログラム詳細画面（ユーザー提供スクリーンショット）</t>
        </is>
      </c>
      <c r="Z102" s="5" t="inlineStr">
        <is>
          <t>2026-09-05</t>
        </is>
      </c>
      <c r="AA102" s="5" t="inlineStr">
        <is>
          <t>s00000022413004</t>
        </is>
      </c>
    </row>
    <row r="103">
      <c r="A103" s="5" t="n">
        <v>102</v>
      </c>
      <c r="B103" s="5" t="inlineStr">
        <is>
          <t>Hiraku agent（ゲーム業界専門転職エージェント）</t>
        </is>
      </c>
      <c r="C103" s="5" t="inlineStr">
        <is>
          <t>未確認</t>
        </is>
      </c>
      <c r="D103" s="5" t="inlineStr">
        <is>
          <t>ゲーム業界</t>
        </is>
      </c>
      <c r="E103" s="5" t="inlineStr">
        <is>
          <t>ゲーム業界経験者</t>
        </is>
      </c>
      <c r="F103" s="6" t="n">
        <v>15500</v>
      </c>
      <c r="G103" s="5" t="inlineStr">
        <is>
          <t>新規無料面談エントリー</t>
        </is>
      </c>
      <c r="H103" s="5" t="inlineStr">
        <is>
          <t>面談エントリー完了（電話・メールで詳細確認）</t>
        </is>
      </c>
      <c r="I103" s="7" t="n">
        <v>0.6</v>
      </c>
      <c r="J103" s="6" t="n"/>
      <c r="K103" s="8">
        <f>IF(OR(F103="",I103=""),"",F103*I103)</f>
        <v/>
      </c>
      <c r="L103" s="5" t="inlineStr">
        <is>
          <t>90日</t>
        </is>
      </c>
      <c r="M103" s="5" t="inlineStr">
        <is>
          <t>約30日</t>
        </is>
      </c>
      <c r="N103" s="5" t="inlineStr">
        <is>
          <t>WEBエントリー後30日以内にメールまたは電話での申込内容確認</t>
        </is>
      </c>
      <c r="O103" s="5" t="inlineStr">
        <is>
          <t>ゲーム業界未経験からの申込／連絡がつかない場合／重複・不正・キャンセル／リスティング違反</t>
        </is>
      </c>
      <c r="P103" s="5" t="inlineStr">
        <is>
          <t>NG</t>
        </is>
      </c>
      <c r="Q103" s="5" t="inlineStr">
        <is>
          <t>NG</t>
        </is>
      </c>
      <c r="R103" s="5" t="inlineStr">
        <is>
          <t>未確認</t>
        </is>
      </c>
      <c r="S103" s="5" t="inlineStr">
        <is>
          <t>未確認</t>
        </is>
      </c>
      <c r="T103" s="5" t="inlineStr">
        <is>
          <t>あり</t>
        </is>
      </c>
      <c r="U103" s="5" t="inlineStr">
        <is>
          <t>未確認</t>
        </is>
      </c>
      <c r="V103" s="5" t="inlineStr">
        <is>
          <t>要詳細分析</t>
        </is>
      </c>
      <c r="W103" s="5" t="inlineStr">
        <is>
          <t>確定率60%だがEPCは非表示。ゲーム業界専門の希少なニッチ案件</t>
        </is>
      </c>
      <c r="X103" s="5" t="inlineStr">
        <is>
          <t>済（写真から入力、EPCデータなし）</t>
        </is>
      </c>
      <c r="Y103" s="5" t="inlineStr">
        <is>
          <t>A8.netプログラム詳細画面（ユーザー提供スクリーンショット）</t>
        </is>
      </c>
      <c r="Z103" s="5" t="inlineStr">
        <is>
          <t>2026-09-05</t>
        </is>
      </c>
      <c r="AA103" s="5" t="inlineStr">
        <is>
          <t>s00000025464001</t>
        </is>
      </c>
    </row>
    <row r="104">
      <c r="A104" s="5" t="n">
        <v>103</v>
      </c>
      <c r="B104" s="5" t="inlineStr">
        <is>
          <t>シリコンスタジオエージェント（ゲーム・映像業界特化）</t>
        </is>
      </c>
      <c r="C104" s="5" t="inlineStr">
        <is>
          <t>未確認</t>
        </is>
      </c>
      <c r="D104" s="5" t="inlineStr">
        <is>
          <t>ゲーム・映像業界</t>
        </is>
      </c>
      <c r="E104" s="5" t="inlineStr">
        <is>
          <t>ゲーム業界経験者</t>
        </is>
      </c>
      <c r="F104" s="6" t="n">
        <v>15800</v>
      </c>
      <c r="G104" s="5" t="inlineStr">
        <is>
          <t>新規登録</t>
        </is>
      </c>
      <c r="H104" s="5" t="inlineStr">
        <is>
          <t>登録完了（本人確認完了）</t>
        </is>
      </c>
      <c r="I104" s="7" t="n">
        <v>0.8571</v>
      </c>
      <c r="J104" s="6" t="n">
        <v>921.0700000000001</v>
      </c>
      <c r="K104" s="8">
        <f>IF(OR(F104="",I104=""),"",F104*I104)</f>
        <v/>
      </c>
      <c r="L104" s="5" t="inlineStr">
        <is>
          <t>90日</t>
        </is>
      </c>
      <c r="M104" s="5" t="inlineStr">
        <is>
          <t>約30日</t>
        </is>
      </c>
      <c r="N104" s="5" t="inlineStr">
        <is>
          <t>WEB申込後14日以内の本人確認完了</t>
        </is>
      </c>
      <c r="O104" s="5" t="inlineStr">
        <is>
          <t>日本語対応不可／業界未経験者からの申込／フリーランス希望者／虚偽・重複・入力不備・いたずら／リスティング違反</t>
        </is>
      </c>
      <c r="P104" s="5" t="inlineStr">
        <is>
          <t>NG</t>
        </is>
      </c>
      <c r="Q104" s="5" t="inlineStr">
        <is>
          <t>NG</t>
        </is>
      </c>
      <c r="R104" s="5" t="inlineStr">
        <is>
          <t>未確認</t>
        </is>
      </c>
      <c r="S104" s="5" t="inlineStr">
        <is>
          <t>未確認</t>
        </is>
      </c>
      <c r="T104" s="5" t="inlineStr">
        <is>
          <t>あり</t>
        </is>
      </c>
      <c r="U104" s="5" t="inlineStr">
        <is>
          <t>未確認</t>
        </is>
      </c>
      <c r="V104" s="5" t="inlineStr">
        <is>
          <t>要詳細分析</t>
        </is>
      </c>
      <c r="W104" s="5" t="inlineStr">
        <is>
          <t>確定率85.71%・EPC921.07円と全体でも上位級。ゲーム業界人材紹介10年の実績を訴求</t>
        </is>
      </c>
      <c r="X104" s="5" t="inlineStr">
        <is>
          <t>済（写真から入力）</t>
        </is>
      </c>
      <c r="Y104" s="5" t="inlineStr">
        <is>
          <t>A8.netプログラム詳細画面（ユーザー提供スクリーンショット）</t>
        </is>
      </c>
      <c r="Z104" s="5" t="inlineStr">
        <is>
          <t>2026-09-05</t>
        </is>
      </c>
      <c r="AA104" s="5" t="inlineStr">
        <is>
          <t>s00000020803001</t>
        </is>
      </c>
    </row>
    <row r="105">
      <c r="A105" s="5" t="n">
        <v>104</v>
      </c>
      <c r="B105" s="5" t="inlineStr">
        <is>
          <t>HR CAREER AGENT（人材業界特化の転職支援）</t>
        </is>
      </c>
      <c r="C105" s="5" t="inlineStr">
        <is>
          <t>ZEROGRA</t>
        </is>
      </c>
      <c r="D105" s="5" t="inlineStr">
        <is>
          <t>人材業界</t>
        </is>
      </c>
      <c r="E105" s="5" t="inlineStr">
        <is>
          <t>20〜30代、人材業界経験者3年以上</t>
        </is>
      </c>
      <c r="F105" s="6" t="n">
        <v>19000</v>
      </c>
      <c r="G105" s="5" t="inlineStr">
        <is>
          <t>新規面談完了（キャンペーン中、通常17,000円、2026/09/01〜10/31）</t>
        </is>
      </c>
      <c r="H105" s="5" t="inlineStr">
        <is>
          <t>面談実施完了</t>
        </is>
      </c>
      <c r="I105" s="7" t="n"/>
      <c r="J105" s="6" t="n">
        <v>186.61</v>
      </c>
      <c r="K105" s="8">
        <f>IF(OR(F105="",I105=""),"",F105*I105)</f>
        <v/>
      </c>
      <c r="L105" s="5" t="inlineStr">
        <is>
          <t>90日</t>
        </is>
      </c>
      <c r="M105" s="5" t="inlineStr">
        <is>
          <t>約30日</t>
        </is>
      </c>
      <c r="N105" s="5" t="inlineStr">
        <is>
          <t>WEB問合せ後、30日以内の面談実施完了</t>
        </is>
      </c>
      <c r="O105" s="5" t="inlineStr">
        <is>
          <t>キャンセル・入力不備・重複／1世帯2回以上／リスティング違反</t>
        </is>
      </c>
      <c r="P105" s="5" t="inlineStr">
        <is>
          <t>NG</t>
        </is>
      </c>
      <c r="Q105" s="5" t="inlineStr">
        <is>
          <t>NG</t>
        </is>
      </c>
      <c r="R105" s="5" t="inlineStr">
        <is>
          <t>未確認</t>
        </is>
      </c>
      <c r="S105" s="5" t="inlineStr">
        <is>
          <t>未確認</t>
        </is>
      </c>
      <c r="T105" s="5" t="inlineStr">
        <is>
          <t>あり</t>
        </is>
      </c>
      <c r="U105" s="5" t="inlineStr">
        <is>
          <t>未確認</t>
        </is>
      </c>
      <c r="V105" s="5" t="inlineStr">
        <is>
          <t>要詳細分析</t>
        </is>
      </c>
      <c r="W105" s="5" t="inlineStr">
        <is>
          <t>人材業界経験者特化。EPC186.61円だが確定率は非表示</t>
        </is>
      </c>
      <c r="X105" s="5" t="inlineStr">
        <is>
          <t>済（写真から入力、確定率データなし）</t>
        </is>
      </c>
      <c r="Y105" s="5" t="inlineStr">
        <is>
          <t>A8.netプログラム詳細画面（ユーザー提供スクリーンショット）</t>
        </is>
      </c>
      <c r="Z105" s="5" t="inlineStr">
        <is>
          <t>2026-09-05</t>
        </is>
      </c>
      <c r="AA105" s="5" t="inlineStr">
        <is>
          <t>s00000027498002</t>
        </is>
      </c>
    </row>
    <row r="106">
      <c r="A106" s="5" t="n">
        <v>105</v>
      </c>
      <c r="B106" s="5" t="inlineStr">
        <is>
          <t>Raflogic（コンサルファーム出身者によるコンサル転職特化）</t>
        </is>
      </c>
      <c r="C106" s="5" t="inlineStr">
        <is>
          <t>株式会社Raflogic</t>
        </is>
      </c>
      <c r="D106" s="5" t="inlineStr">
        <is>
          <t>専門職(コンサル)</t>
        </is>
      </c>
      <c r="E106" s="5" t="inlineStr">
        <is>
          <t>20代後半〜45歳、コンサルファーム勤務経験者</t>
        </is>
      </c>
      <c r="F106" s="6" t="n">
        <v>18000</v>
      </c>
      <c r="G106" s="5" t="inlineStr">
        <is>
          <t>新規無料相談完了</t>
        </is>
      </c>
      <c r="H106" s="5" t="inlineStr">
        <is>
          <t>無料相談完了</t>
        </is>
      </c>
      <c r="I106" s="7" t="n">
        <v>0.5</v>
      </c>
      <c r="J106" s="6" t="n"/>
      <c r="K106" s="8">
        <f>IF(OR(F106="",I106=""),"",F106*I106)</f>
        <v/>
      </c>
      <c r="L106" s="5" t="inlineStr">
        <is>
          <t>90日</t>
        </is>
      </c>
      <c r="M106" s="5" t="inlineStr">
        <is>
          <t>約30日</t>
        </is>
      </c>
      <c r="N106" s="5" t="inlineStr">
        <is>
          <t>WEB申込後30日以内の無料相談完了</t>
        </is>
      </c>
      <c r="O106" s="5" t="inlineStr">
        <is>
          <t>いたずら・重複申込の場合／リスティング違反</t>
        </is>
      </c>
      <c r="P106" s="5" t="inlineStr">
        <is>
          <t>NG</t>
        </is>
      </c>
      <c r="Q106" s="5" t="inlineStr">
        <is>
          <t>NG</t>
        </is>
      </c>
      <c r="R106" s="5" t="inlineStr">
        <is>
          <t>未確認</t>
        </is>
      </c>
      <c r="S106" s="5" t="inlineStr">
        <is>
          <t>未確認</t>
        </is>
      </c>
      <c r="T106" s="5" t="inlineStr">
        <is>
          <t>あり</t>
        </is>
      </c>
      <c r="U106" s="5" t="inlineStr">
        <is>
          <t>未確認</t>
        </is>
      </c>
      <c r="V106" s="5" t="inlineStr">
        <is>
          <t>要詳細分析</t>
        </is>
      </c>
      <c r="W106" s="5" t="inlineStr">
        <is>
          <t>コンサルファーム出身アドバイザーが担当。確定率50%、EPCは非表示</t>
        </is>
      </c>
      <c r="X106" s="5" t="inlineStr">
        <is>
          <t>済（写真から入力、EPCデータなし）</t>
        </is>
      </c>
      <c r="Y106" s="5" t="inlineStr">
        <is>
          <t>A8.netプログラム詳細画面（ユーザー提供スクリーンショット）</t>
        </is>
      </c>
      <c r="Z106" s="5" t="inlineStr">
        <is>
          <t>2026-09-05</t>
        </is>
      </c>
      <c r="AA106" s="5" t="inlineStr">
        <is>
          <t>s00000026739001</t>
        </is>
      </c>
    </row>
    <row r="107">
      <c r="A107" s="5" t="n">
        <v>106</v>
      </c>
      <c r="B107" s="5" t="inlineStr">
        <is>
          <t>コンコードエグゼクティブグループ（日本No.1コンサル転職・ハイクラス）</t>
        </is>
      </c>
      <c r="C107" s="5" t="inlineStr">
        <is>
          <t>未確認</t>
        </is>
      </c>
      <c r="D107" s="5" t="inlineStr">
        <is>
          <t>専門職(コンサル)/ハイクラス</t>
        </is>
      </c>
      <c r="E107" s="5" t="inlineStr">
        <is>
          <t>22〜54歳</t>
        </is>
      </c>
      <c r="F107" s="6" t="n">
        <v>18000</v>
      </c>
      <c r="G107" s="5" t="inlineStr">
        <is>
          <t>新規無料面談完了</t>
        </is>
      </c>
      <c r="H107" s="5" t="inlineStr">
        <is>
          <t>無料面談完了</t>
        </is>
      </c>
      <c r="I107" s="7" t="n">
        <v>0.7586000000000001</v>
      </c>
      <c r="J107" s="6" t="n">
        <v>543.11</v>
      </c>
      <c r="K107" s="8">
        <f>IF(OR(F107="",I107=""),"",F107*I107)</f>
        <v/>
      </c>
      <c r="L107" s="5" t="inlineStr">
        <is>
          <t>90日</t>
        </is>
      </c>
      <c r="M107" s="5" t="inlineStr">
        <is>
          <t>約30日</t>
        </is>
      </c>
      <c r="N107" s="5" t="inlineStr">
        <is>
          <t>WEB申込後14日以内の面談完了</t>
        </is>
      </c>
      <c r="O107" s="5" t="inlineStr">
        <is>
          <t>虚偽・不正・スパム・重複／リスティング違反</t>
        </is>
      </c>
      <c r="P107" s="5" t="inlineStr">
        <is>
          <t>NG</t>
        </is>
      </c>
      <c r="Q107" s="5" t="inlineStr">
        <is>
          <t>NG</t>
        </is>
      </c>
      <c r="R107" s="5" t="inlineStr">
        <is>
          <t>未確認</t>
        </is>
      </c>
      <c r="S107" s="5" t="inlineStr">
        <is>
          <t>未確認</t>
        </is>
      </c>
      <c r="T107" s="5" t="inlineStr">
        <is>
          <t>あり</t>
        </is>
      </c>
      <c r="U107" s="5" t="inlineStr">
        <is>
          <t>未確認</t>
        </is>
      </c>
      <c r="V107" s="5" t="inlineStr">
        <is>
          <t>要詳細分析</t>
        </is>
      </c>
      <c r="W107" s="5" t="inlineStr">
        <is>
          <t>確定率75.86%・EPC543.11円と高水準。コンサル・ハイクラス転職No.1を訴求</t>
        </is>
      </c>
      <c r="X107" s="5" t="inlineStr">
        <is>
          <t>済（写真から入力）</t>
        </is>
      </c>
      <c r="Y107" s="5" t="inlineStr">
        <is>
          <t>A8.netプログラム詳細画面（ユーザー提供スクリーンショット）</t>
        </is>
      </c>
      <c r="Z107" s="5" t="inlineStr">
        <is>
          <t>2026-09-05</t>
        </is>
      </c>
      <c r="AA107" s="5" t="inlineStr">
        <is>
          <t>s00000024492001</t>
        </is>
      </c>
    </row>
    <row r="108">
      <c r="A108" s="5" t="n">
        <v>107</v>
      </c>
      <c r="B108" s="5" t="inlineStr">
        <is>
          <t>TwinPro（会計士・税理士特化の転職エージェント）</t>
        </is>
      </c>
      <c r="C108" s="5" t="inlineStr">
        <is>
          <t>MyVision</t>
        </is>
      </c>
      <c r="D108" s="5" t="inlineStr">
        <is>
          <t>専門職(会計士・税理士)</t>
        </is>
      </c>
      <c r="E108" s="5" t="inlineStr">
        <is>
          <t>公認会計士・税理士等有資格者、24〜45歳</t>
        </is>
      </c>
      <c r="F108" s="6" t="n">
        <v>18000</v>
      </c>
      <c r="G108" s="5" t="inlineStr">
        <is>
          <t>新規無料面談完了</t>
        </is>
      </c>
      <c r="H108" s="5" t="inlineStr">
        <is>
          <t>無料面談完了</t>
        </is>
      </c>
      <c r="I108" s="7" t="n">
        <v>0.4122</v>
      </c>
      <c r="J108" s="6" t="n">
        <v>154.25</v>
      </c>
      <c r="K108" s="8">
        <f>IF(OR(F108="",I108=""),"",F108*I108)</f>
        <v/>
      </c>
      <c r="L108" s="5" t="inlineStr">
        <is>
          <t>90日</t>
        </is>
      </c>
      <c r="M108" s="5" t="inlineStr">
        <is>
          <t>約30日</t>
        </is>
      </c>
      <c r="N108" s="5" t="inlineStr">
        <is>
          <t>WEB申込後30日以内の無料面談実施完了</t>
        </is>
      </c>
      <c r="O108" s="5" t="inlineStr">
        <is>
          <t>いたずら・重複・虚偽・キャンセル／1世帯2回以上／リスティング違反</t>
        </is>
      </c>
      <c r="P108" s="5" t="inlineStr">
        <is>
          <t>NG</t>
        </is>
      </c>
      <c r="Q108" s="5" t="inlineStr">
        <is>
          <t>NG</t>
        </is>
      </c>
      <c r="R108" s="5" t="inlineStr">
        <is>
          <t>未確認</t>
        </is>
      </c>
      <c r="S108" s="5" t="inlineStr">
        <is>
          <t>未確認</t>
        </is>
      </c>
      <c r="T108" s="5" t="inlineStr">
        <is>
          <t>あり</t>
        </is>
      </c>
      <c r="U108" s="5" t="inlineStr">
        <is>
          <t>未確認</t>
        </is>
      </c>
      <c r="V108" s="5" t="inlineStr">
        <is>
          <t>要詳細分析</t>
        </is>
      </c>
      <c r="W108" s="5" t="inlineStr">
        <is>
          <t>会計・税理士業界特化。同一広告主MyVisionの他プログラム（MyVisionコンサルティング・テックゲート等）と系列</t>
        </is>
      </c>
      <c r="X108" s="5" t="inlineStr">
        <is>
          <t>済（写真から入力）</t>
        </is>
      </c>
      <c r="Y108" s="5" t="inlineStr">
        <is>
          <t>A8.netプログラム詳細画面（ユーザー提供スクリーンショット）</t>
        </is>
      </c>
      <c r="Z108" s="5" t="inlineStr">
        <is>
          <t>2026-09-05</t>
        </is>
      </c>
      <c r="AA108" s="5" t="inlineStr">
        <is>
          <t>s00000024757002</t>
        </is>
      </c>
    </row>
    <row r="109">
      <c r="A109" s="5" t="n">
        <v>108</v>
      </c>
      <c r="B109" s="5" t="inlineStr">
        <is>
          <t>社内SE転職ナビ（社内SE・IT/Webエンジニア転職）</t>
        </is>
      </c>
      <c r="C109" s="5" t="inlineStr">
        <is>
          <t>アイムファクトリー株式会社</t>
        </is>
      </c>
      <c r="D109" s="5" t="inlineStr">
        <is>
          <t>IT(社内SE)</t>
        </is>
      </c>
      <c r="E109" s="5" t="inlineStr">
        <is>
          <t>社内SE志望者、フロントエンジニア等</t>
        </is>
      </c>
      <c r="F109" s="6" t="n">
        <v>18000</v>
      </c>
      <c r="G109" s="5" t="inlineStr">
        <is>
          <t>新規会員登録</t>
        </is>
      </c>
      <c r="H109" s="5" t="inlineStr">
        <is>
          <t>会員登録完了（本人確認完了）</t>
        </is>
      </c>
      <c r="I109" s="7" t="n">
        <v>0.5329</v>
      </c>
      <c r="J109" s="6" t="n">
        <v>97.01000000000001</v>
      </c>
      <c r="K109" s="8">
        <f>IF(OR(F109="",I109=""),"",F109*I109)</f>
        <v/>
      </c>
      <c r="L109" s="5" t="inlineStr">
        <is>
          <t>90日</t>
        </is>
      </c>
      <c r="M109" s="5" t="inlineStr">
        <is>
          <t>約30日</t>
        </is>
      </c>
      <c r="N109" s="5" t="inlineStr">
        <is>
          <t>WEB申込後7日以内の本人確認完了</t>
        </is>
      </c>
      <c r="O109" s="5" t="inlineStr">
        <is>
          <t>虚偽・重複・入力不備等／リスティング違反</t>
        </is>
      </c>
      <c r="P109" s="5" t="inlineStr">
        <is>
          <t>NG</t>
        </is>
      </c>
      <c r="Q109" s="5" t="inlineStr">
        <is>
          <t>NG</t>
        </is>
      </c>
      <c r="R109" s="5" t="inlineStr">
        <is>
          <t>未確認</t>
        </is>
      </c>
      <c r="S109" s="5" t="inlineStr">
        <is>
          <t>未確認</t>
        </is>
      </c>
      <c r="T109" s="5" t="inlineStr">
        <is>
          <t>あり</t>
        </is>
      </c>
      <c r="U109" s="5" t="inlineStr">
        <is>
          <t>未確認</t>
        </is>
      </c>
      <c r="V109" s="5" t="inlineStr">
        <is>
          <t>要詳細分析</t>
        </is>
      </c>
      <c r="W109" s="5" t="inlineStr">
        <is>
          <t>社内SEというニッチ職種特化。確定率53.29%・EPC97.01円</t>
        </is>
      </c>
      <c r="X109" s="5" t="inlineStr">
        <is>
          <t>済（写真から入力）</t>
        </is>
      </c>
      <c r="Y109" s="5" t="inlineStr">
        <is>
          <t>A8.netプログラム詳細画面（ユーザー提供スクリーンショット）</t>
        </is>
      </c>
      <c r="Z109" s="5" t="inlineStr">
        <is>
          <t>2026-09-05</t>
        </is>
      </c>
      <c r="AA109" s="5" t="inlineStr">
        <is>
          <t>s00000016458003</t>
        </is>
      </c>
    </row>
    <row r="110">
      <c r="A110" s="5" t="n">
        <v>109</v>
      </c>
      <c r="B110" s="5" t="inlineStr">
        <is>
          <t>TechClips ME（IT エンジニア専門・年収提示型スカウト）</t>
        </is>
      </c>
      <c r="C110" s="5" t="inlineStr">
        <is>
          <t>notar株式会社</t>
        </is>
      </c>
      <c r="D110" s="5" t="inlineStr">
        <is>
          <t>IT</t>
        </is>
      </c>
      <c r="E110" s="5" t="inlineStr">
        <is>
          <t>ITエンジニア実務経験者</t>
        </is>
      </c>
      <c r="F110" s="6" t="n">
        <v>20000</v>
      </c>
      <c r="G110" s="5" t="inlineStr">
        <is>
          <t>新規利用者登録</t>
        </is>
      </c>
      <c r="H110" s="5" t="inlineStr">
        <is>
          <t>利用者登録完了</t>
        </is>
      </c>
      <c r="I110" s="7" t="n"/>
      <c r="J110" s="6" t="n"/>
      <c r="K110" s="8">
        <f>IF(OR(F110="",I110=""),"",F110*I110)</f>
        <v/>
      </c>
      <c r="L110" s="5" t="inlineStr">
        <is>
          <t>90日</t>
        </is>
      </c>
      <c r="M110" s="5" t="inlineStr">
        <is>
          <t>約30日</t>
        </is>
      </c>
      <c r="N110" s="5" t="inlineStr">
        <is>
          <t>WEB申込後21日以内の書類提出・審査通過完了</t>
        </is>
      </c>
      <c r="O110" s="5" t="inlineStr">
        <is>
          <t>入力不備・虚偽メールアドレス等／リスティング違反</t>
        </is>
      </c>
      <c r="P110" s="5" t="inlineStr">
        <is>
          <t>NG</t>
        </is>
      </c>
      <c r="Q110" s="5" t="inlineStr">
        <is>
          <t>NG</t>
        </is>
      </c>
      <c r="R110" s="5" t="inlineStr">
        <is>
          <t>未確認</t>
        </is>
      </c>
      <c r="S110" s="5" t="inlineStr">
        <is>
          <t>未確認</t>
        </is>
      </c>
      <c r="T110" s="5" t="inlineStr">
        <is>
          <t>あり</t>
        </is>
      </c>
      <c r="U110" s="5" t="inlineStr">
        <is>
          <t>未確認</t>
        </is>
      </c>
      <c r="V110" s="5" t="inlineStr">
        <is>
          <t>要詳細分析</t>
        </is>
      </c>
      <c r="W110" s="5" t="inlineStr">
        <is>
          <t>同一広告主のTechClipsエージェント（面談型）とは別の年収提示型スカウトサービス。確定率・EPCとも非表示</t>
        </is>
      </c>
      <c r="X110" s="5" t="inlineStr">
        <is>
          <t>済（写真から入力、確定率・EPCデータなし）</t>
        </is>
      </c>
      <c r="Y110" s="5" t="inlineStr">
        <is>
          <t>A8.netプログラム詳細画面（ユーザー提供スクリーンショット）</t>
        </is>
      </c>
      <c r="Z110" s="5" t="inlineStr">
        <is>
          <t>2026-09-05</t>
        </is>
      </c>
      <c r="AA110" s="5" t="inlineStr">
        <is>
          <t>s00000017743003</t>
        </is>
      </c>
    </row>
    <row r="111">
      <c r="A111" s="5" t="n">
        <v>110</v>
      </c>
      <c r="B111" s="5" t="inlineStr">
        <is>
          <t>アイリード（薬剤師のための転職支援）</t>
        </is>
      </c>
      <c r="C111" s="5" t="inlineStr">
        <is>
          <t>アイリード株式会社</t>
        </is>
      </c>
      <c r="D111" s="5" t="inlineStr">
        <is>
          <t>医療(薬剤師)</t>
        </is>
      </c>
      <c r="E111" s="5" t="inlineStr">
        <is>
          <t>薬剤師資格保有、20〜40代</t>
        </is>
      </c>
      <c r="F111" s="6" t="n"/>
      <c r="G111" s="5" t="inlineStr">
        <is>
          <t>派遣20,000円／正社員45,000円（ランク別）</t>
        </is>
      </c>
      <c r="H111" s="5" t="inlineStr">
        <is>
          <t>転職成功完了</t>
        </is>
      </c>
      <c r="I111" s="7" t="n"/>
      <c r="J111" s="6" t="n"/>
      <c r="K111" s="8">
        <f>IF(OR(F111="",I111=""),"",F111*I111)</f>
        <v/>
      </c>
      <c r="L111" s="5" t="inlineStr">
        <is>
          <t>90日</t>
        </is>
      </c>
      <c r="M111" s="5" t="inlineStr">
        <is>
          <t>約30日</t>
        </is>
      </c>
      <c r="N111" s="5" t="inlineStr">
        <is>
          <t>WEBより30日以内に転職成功完了</t>
        </is>
      </c>
      <c r="O111" s="5" t="inlineStr">
        <is>
          <t>虚偽・重複・入力不備／リスティング違反</t>
        </is>
      </c>
      <c r="P111" s="5" t="inlineStr">
        <is>
          <t>NG</t>
        </is>
      </c>
      <c r="Q111" s="5" t="inlineStr">
        <is>
          <t>NG</t>
        </is>
      </c>
      <c r="R111" s="5" t="inlineStr">
        <is>
          <t>未確認</t>
        </is>
      </c>
      <c r="S111" s="5" t="inlineStr">
        <is>
          <t>未確認</t>
        </is>
      </c>
      <c r="T111" s="5" t="inlineStr">
        <is>
          <t>あり</t>
        </is>
      </c>
      <c r="U111" s="5" t="inlineStr">
        <is>
          <t>未確認</t>
        </is>
      </c>
      <c r="V111" s="5" t="inlineStr">
        <is>
          <t>要詳細分析</t>
        </is>
      </c>
      <c r="W111" s="5" t="inlineStr">
        <is>
          <t>報酬がランク別（派遣/正社員）で分かれる薬剤師特化案件。確定率・EPCとも非表示</t>
        </is>
      </c>
      <c r="X111" s="5" t="inlineStr">
        <is>
          <t>済（写真から入力、報酬額はランク別のため単一値なし、確定率・EPCデータなし）</t>
        </is>
      </c>
      <c r="Y111" s="5" t="inlineStr">
        <is>
          <t>A8.netプログラム詳細画面（ユーザー提供スクリーンショット）</t>
        </is>
      </c>
      <c r="Z111" s="5" t="inlineStr">
        <is>
          <t>2026-09-05</t>
        </is>
      </c>
      <c r="AA111" s="5" t="inlineStr">
        <is>
          <t>s00000026599001</t>
        </is>
      </c>
    </row>
    <row r="112">
      <c r="A112" s="5" t="n">
        <v>111</v>
      </c>
      <c r="B112" s="5" t="inlineStr">
        <is>
          <t>BREXA SOLVIA（未経験から3か月研修でエンジニア転職）</t>
        </is>
      </c>
      <c r="C112" s="5" t="inlineStr">
        <is>
          <t>レバレジーズ株式会社</t>
        </is>
      </c>
      <c r="D112" s="5" t="inlineStr">
        <is>
          <t>IT(未経験可)</t>
        </is>
      </c>
      <c r="E112" s="5" t="inlineStr">
        <is>
          <t>20〜30代、未経験可</t>
        </is>
      </c>
      <c r="F112" s="6" t="n">
        <v>20000</v>
      </c>
      <c r="G112" s="5" t="inlineStr">
        <is>
          <t>新規面談</t>
        </is>
      </c>
      <c r="H112" s="5" t="inlineStr">
        <is>
          <t>面談完了</t>
        </is>
      </c>
      <c r="I112" s="7" t="n"/>
      <c r="J112" s="6" t="n">
        <v>43.76</v>
      </c>
      <c r="K112" s="8">
        <f>IF(OR(F112="",I112=""),"",F112*I112)</f>
        <v/>
      </c>
      <c r="L112" s="5" t="inlineStr">
        <is>
          <t>90日</t>
        </is>
      </c>
      <c r="M112" s="5" t="inlineStr">
        <is>
          <t>約30日</t>
        </is>
      </c>
      <c r="N112" s="5" t="inlineStr">
        <is>
          <t>WEB申込後30日以内の面談完了</t>
        </is>
      </c>
      <c r="O112" s="5" t="inlineStr">
        <is>
          <t>重複・いたずら・虚偽・キャンセル／1世帯2回以上／リスティング違反</t>
        </is>
      </c>
      <c r="P112" s="5" t="inlineStr">
        <is>
          <t>NG</t>
        </is>
      </c>
      <c r="Q112" s="5" t="inlineStr">
        <is>
          <t>NG</t>
        </is>
      </c>
      <c r="R112" s="5" t="inlineStr">
        <is>
          <t>未確認</t>
        </is>
      </c>
      <c r="S112" s="5" t="inlineStr">
        <is>
          <t>未確認</t>
        </is>
      </c>
      <c r="T112" s="5" t="inlineStr">
        <is>
          <t>あり</t>
        </is>
      </c>
      <c r="U112" s="5" t="inlineStr">
        <is>
          <t>未確認</t>
        </is>
      </c>
      <c r="V112" s="5" t="inlineStr">
        <is>
          <t>要詳細分析</t>
        </is>
      </c>
      <c r="W112" s="5" t="inlineStr">
        <is>
          <t>3か月研修付きの未経験IT転職。EPC43.76円、確定率は非表示</t>
        </is>
      </c>
      <c r="X112" s="5" t="inlineStr">
        <is>
          <t>済（写真から入力、確定率データなし）</t>
        </is>
      </c>
      <c r="Y112" s="5" t="inlineStr">
        <is>
          <t>A8.netプログラム詳細画面（ユーザー提供スクリーンショット）</t>
        </is>
      </c>
      <c r="Z112" s="5" t="inlineStr">
        <is>
          <t>2026-09-05</t>
        </is>
      </c>
      <c r="AA112" s="5" t="inlineStr">
        <is>
          <t>s00000027040001</t>
        </is>
      </c>
    </row>
    <row r="113">
      <c r="A113" s="5" t="n">
        <v>112</v>
      </c>
      <c r="B113" s="5" t="inlineStr">
        <is>
          <t>M&amp;A BEGINNERS（未経験からM&amp;A業界への転職）</t>
        </is>
      </c>
      <c r="C113" s="5" t="inlineStr">
        <is>
          <t>ZEROGRA</t>
        </is>
      </c>
      <c r="D113" s="5" t="inlineStr">
        <is>
          <t>M&amp;A業界</t>
        </is>
      </c>
      <c r="E113" s="5" t="inlineStr">
        <is>
          <t>23〜32歳</t>
        </is>
      </c>
      <c r="F113" s="6" t="n">
        <v>21000</v>
      </c>
      <c r="G113" s="5" t="inlineStr">
        <is>
          <t>新規面談完了（キャンペーン中、通常19,000円、2026/09/01〜10/31）</t>
        </is>
      </c>
      <c r="H113" s="5" t="inlineStr">
        <is>
          <t>面談実施完了</t>
        </is>
      </c>
      <c r="I113" s="7" t="n"/>
      <c r="J113" s="6" t="n"/>
      <c r="K113" s="8">
        <f>IF(OR(F113="",I113=""),"",F113*I113)</f>
        <v/>
      </c>
      <c r="L113" s="5" t="inlineStr">
        <is>
          <t>90日</t>
        </is>
      </c>
      <c r="M113" s="5" t="inlineStr">
        <is>
          <t>約30日</t>
        </is>
      </c>
      <c r="N113" s="5" t="inlineStr">
        <is>
          <t>WEB問合せ後30日以内の面談完了</t>
        </is>
      </c>
      <c r="O113" s="5" t="inlineStr">
        <is>
          <t>重複・入力不備・不正／リスティング違反</t>
        </is>
      </c>
      <c r="P113" s="5" t="inlineStr">
        <is>
          <t>NG</t>
        </is>
      </c>
      <c r="Q113" s="5" t="inlineStr">
        <is>
          <t>NG</t>
        </is>
      </c>
      <c r="R113" s="5" t="inlineStr">
        <is>
          <t>未確認</t>
        </is>
      </c>
      <c r="S113" s="5" t="inlineStr">
        <is>
          <t>未確認</t>
        </is>
      </c>
      <c r="T113" s="5" t="inlineStr">
        <is>
          <t>あり</t>
        </is>
      </c>
      <c r="U113" s="5" t="inlineStr">
        <is>
          <t>未確認</t>
        </is>
      </c>
      <c r="V113" s="5" t="inlineStr">
        <is>
          <t>要詳細分析</t>
        </is>
      </c>
      <c r="W113" s="5" t="inlineStr">
        <is>
          <t>同一広告主ZEROGRAのHR CAREER AGENTと同系列のM&amp;A業界特化版。確定率・EPCとも非表示</t>
        </is>
      </c>
      <c r="X113" s="5" t="inlineStr">
        <is>
          <t>済（写真から入力、確定率・EPCデータなし）</t>
        </is>
      </c>
      <c r="Y113" s="5" t="inlineStr">
        <is>
          <t>A8.netプログラム詳細画面（ユーザー提供スクリーンショット）</t>
        </is>
      </c>
      <c r="Z113" s="5" t="inlineStr">
        <is>
          <t>2026-09-05</t>
        </is>
      </c>
      <c r="AA113" s="5" t="inlineStr">
        <is>
          <t>s00000027498003</t>
        </is>
      </c>
    </row>
    <row r="114">
      <c r="A114" s="5" t="n">
        <v>113</v>
      </c>
      <c r="B114" s="5" t="inlineStr">
        <is>
          <t>逆求人エージェントneo（既卒・フリーター向け）</t>
        </is>
      </c>
      <c r="C114" s="5" t="inlineStr">
        <is>
          <t>株式会社ネオキャリア</t>
        </is>
      </c>
      <c r="D114" s="5" t="inlineStr">
        <is>
          <t>既卒・フリーター</t>
        </is>
      </c>
      <c r="E114" s="5" t="inlineStr">
        <is>
          <t>20代、既卒・フリーター</t>
        </is>
      </c>
      <c r="F114" s="6" t="n">
        <v>22500</v>
      </c>
      <c r="G114" s="5" t="inlineStr">
        <is>
          <t>新規カウンセリング実施</t>
        </is>
      </c>
      <c r="H114" s="5" t="inlineStr">
        <is>
          <t>カウンセリング実施完了</t>
        </is>
      </c>
      <c r="I114" s="7" t="n">
        <v>0.3571</v>
      </c>
      <c r="J114" s="6" t="n">
        <v>410.43</v>
      </c>
      <c r="K114" s="8">
        <f>IF(OR(F114="",I114=""),"",F114*I114)</f>
        <v/>
      </c>
      <c r="L114" s="5" t="inlineStr">
        <is>
          <t>90日</t>
        </is>
      </c>
      <c r="M114" s="5" t="inlineStr">
        <is>
          <t>約30日</t>
        </is>
      </c>
      <c r="N114" s="5" t="inlineStr">
        <is>
          <t>WEBより30日以内のカウンセリング実施完了</t>
        </is>
      </c>
      <c r="O114" s="5" t="inlineStr">
        <is>
          <t>重複・虚偽・キャンセル／1世帯2回以上／リスティング違反</t>
        </is>
      </c>
      <c r="P114" s="5" t="inlineStr">
        <is>
          <t>NG</t>
        </is>
      </c>
      <c r="Q114" s="5" t="inlineStr">
        <is>
          <t>NG</t>
        </is>
      </c>
      <c r="R114" s="5" t="inlineStr">
        <is>
          <t>未確認</t>
        </is>
      </c>
      <c r="S114" s="5" t="inlineStr">
        <is>
          <t>未確認</t>
        </is>
      </c>
      <c r="T114" s="5" t="inlineStr">
        <is>
          <t>あり</t>
        </is>
      </c>
      <c r="U114" s="5" t="inlineStr">
        <is>
          <t>未確認</t>
        </is>
      </c>
      <c r="V114" s="5" t="inlineStr">
        <is>
          <t>要詳細分析</t>
        </is>
      </c>
      <c r="W114" s="5" t="inlineStr">
        <is>
          <t>同一広告主ネオキャリアの第二新卒エージェントneoと系列。EPC410.43円と高水準</t>
        </is>
      </c>
      <c r="X114" s="5" t="inlineStr">
        <is>
          <t>済（写真から入力）</t>
        </is>
      </c>
      <c r="Y114" s="5" t="inlineStr">
        <is>
          <t>A8.netプログラム詳細画面（ユーザー提供スクリーンショット）</t>
        </is>
      </c>
      <c r="Z114" s="5" t="inlineStr">
        <is>
          <t>2026-09-05</t>
        </is>
      </c>
      <c r="AA114" s="5" t="inlineStr">
        <is>
          <t>s00000018472007</t>
        </is>
      </c>
    </row>
    <row r="115">
      <c r="A115" s="5" t="n">
        <v>114</v>
      </c>
      <c r="B115" s="5" t="inlineStr">
        <is>
          <t>ユニゾンキャリア（IT・Webエンジニア専門・別プログラム）</t>
        </is>
      </c>
      <c r="C115" s="5" t="inlineStr">
        <is>
          <t>未確認</t>
        </is>
      </c>
      <c r="D115" s="5" t="inlineStr">
        <is>
          <t>IT</t>
        </is>
      </c>
      <c r="E115" s="5" t="inlineStr">
        <is>
          <t>ITエンジニア</t>
        </is>
      </c>
      <c r="F115" s="6" t="n">
        <v>18000</v>
      </c>
      <c r="G115" s="5" t="inlineStr">
        <is>
          <t>新規登録</t>
        </is>
      </c>
      <c r="H115" s="5" t="inlineStr">
        <is>
          <t>登録完了</t>
        </is>
      </c>
      <c r="I115" s="7" t="n">
        <v>0.6666</v>
      </c>
      <c r="J115" s="6" t="n">
        <v>2074.07</v>
      </c>
      <c r="K115" s="8">
        <f>IF(OR(F115="",I115=""),"",F115*I115)</f>
        <v/>
      </c>
      <c r="L115" s="5" t="inlineStr">
        <is>
          <t>90日</t>
        </is>
      </c>
      <c r="M115" s="5" t="inlineStr">
        <is>
          <t>約30日</t>
        </is>
      </c>
      <c r="N115" s="5" t="inlineStr">
        <is>
          <t>未確認（一覧値のみ、既存「ユニゾンキャリア」行と要突合）</t>
        </is>
      </c>
      <c r="O115" s="5" t="inlineStr">
        <is>
          <t>未確認</t>
        </is>
      </c>
      <c r="P115" s="5" t="inlineStr">
        <is>
          <t>NG</t>
        </is>
      </c>
      <c r="Q115" s="5" t="inlineStr">
        <is>
          <t>NG</t>
        </is>
      </c>
      <c r="R115" s="5" t="inlineStr">
        <is>
          <t>未確認</t>
        </is>
      </c>
      <c r="S115" s="5" t="inlineStr">
        <is>
          <t>未確認</t>
        </is>
      </c>
      <c r="T115" s="5" t="inlineStr">
        <is>
          <t>あり</t>
        </is>
      </c>
      <c r="U115" s="5" t="inlineStr">
        <is>
          <t>未確認</t>
        </is>
      </c>
      <c r="V115" s="5" t="inlineStr">
        <is>
          <t>要詳細確認</t>
        </is>
      </c>
      <c r="W115" s="5" t="inlineStr">
        <is>
          <t>既存の「ユニゾンキャリア」行（報酬18,000円・確定率86.66%・EPC2,059円）と広告主・報酬額は近いが確定率・EPCが異なる。同一プログラムの表記ゆれか別プログラムか要確認</t>
        </is>
      </c>
      <c r="X115" s="5" t="inlineStr">
        <is>
          <t>未確認（既存行との重複可能性あり、要突合）</t>
        </is>
      </c>
      <c r="Y115" s="5" t="inlineStr">
        <is>
          <t>A8.netプログラム詳細画面（ユーザー提供スクリーンショット）</t>
        </is>
      </c>
      <c r="Z115" s="5" t="inlineStr">
        <is>
          <t>2026-09-05</t>
        </is>
      </c>
      <c r="AA115" s="5" t="inlineStr">
        <is>
          <t>s00000025722003</t>
        </is>
      </c>
    </row>
  </sheetData>
  <dataValidations count="7">
    <dataValidation sqref="P2:P1000" showDropDown="0" showInputMessage="0" showErrorMessage="0" allowBlank="1" type="list">
      <formula1>"NG,OK,不明,未確認"</formula1>
    </dataValidation>
    <dataValidation sqref="Q2:Q1000" showDropDown="0" showInputMessage="0" showErrorMessage="0" allowBlank="1" type="list">
      <formula1>"NG,OK,不明,未確認"</formula1>
    </dataValidation>
    <dataValidation sqref="R2:R1000" showDropDown="0" showInputMessage="0" showErrorMessage="0" allowBlank="1" type="list">
      <formula1>"OK,NG,不明,未確認"</formula1>
    </dataValidation>
    <dataValidation sqref="S2:S1000" showDropDown="0" showInputMessage="0" showErrorMessage="0" allowBlank="1" type="list">
      <formula1>"NG,OK,不明,未確認"</formula1>
    </dataValidation>
    <dataValidation sqref="T2:T1000" showDropDown="0" showInputMessage="0" showErrorMessage="0" allowBlank="1" type="list">
      <formula1>"あり,なし,不明,未確認"</formula1>
    </dataValidation>
    <dataValidation sqref="V2:V1000" showDropDown="0" showInputMessage="0" showErrorMessage="0" allowBlank="1" type="list">
      <formula1>"本命,S,A,B,低,最下位,判定不能,見送り推奨,要詳細確認,要詳細分析"</formula1>
    </dataValidation>
    <dataValidation sqref="X2:X1000" showDropDown="0" showInputMessage="0" showErrorMessage="0" allowBlank="1" type="list">
      <formula1>"済,未確認,未分析,済（データ不足）,済（開始直後）,済（実績ゼロ）"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2026-09-05T17:07:47Z</dcterms:created>
  <dcterms:modified xsi:type="dcterms:W3CDTF">2026-09-05T22:56:05Z</dcterms:modified>
</cp:coreProperties>
</file>