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案件一覧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0%;-0.00%;&quot;-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2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A8案件一覧" displayName="A8案件一覧" ref="A1:Z28" headerRowCount="1">
  <autoFilter ref="A1:Z28"/>
  <tableColumns count="26">
    <tableColumn id="1" name="No."/>
    <tableColumn id="2" name="案件名"/>
    <tableColumn id="3" name="広告主"/>
    <tableColumn id="4" name="ジャンル区分"/>
    <tableColumn id="5" name="対象・ターゲット"/>
    <tableColumn id="6" name="報酬(円)"/>
    <tableColumn id="7" name="報酬メモ"/>
    <tableColumn id="8" name="成果地点"/>
    <tableColumn id="9" name="確定率"/>
    <tableColumn id="10" name="EPC(円)"/>
    <tableColumn id="11" name="実質単価(円)"/>
    <tableColumn id="12" name="クッキー期間"/>
    <tableColumn id="13" name="確定目安"/>
    <tableColumn id="14" name="承認条件"/>
    <tableColumn id="15" name="否認条件"/>
    <tableColumn id="16" name="リスティング可否"/>
    <tableColumn id="17" name="本人申込可否"/>
    <tableColumn id="18" name="SNS集客可否"/>
    <tableColumn id="19" name="LINE誘導可否"/>
    <tableColumn id="20" name="審査有無"/>
    <tableColumn id="21" name="画像素材制限"/>
    <tableColumn id="22" name="優先度"/>
    <tableColumn id="23" name="判定・コメント"/>
    <tableColumn id="24" name="詳細確認状況"/>
    <tableColumn id="25" name="データ出所"/>
    <tableColumn id="26" name="追加日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A8.net 転職アフィリエイト案件リサーチ</t>
        </is>
      </c>
    </row>
    <row r="2">
      <c r="A2" s="2" t="inlineStr"/>
    </row>
    <row r="3">
      <c r="A3" s="3" t="inlineStr">
        <is>
          <t>■ このファイルについて</t>
        </is>
      </c>
    </row>
    <row r="4">
      <c r="A4" s="2" t="inlineStr">
        <is>
          <t>「案件一覧」シートに、A8.net「就職・転職」カテゴリの提携プログラムを1案件1行でまとめています。</t>
        </is>
      </c>
    </row>
    <row r="5">
      <c r="A5" s="2" t="inlineStr">
        <is>
          <t>写真（A8.netの案件詳細画面のスクリーンショット等）を送っていただければ、その内容を読み取って</t>
        </is>
      </c>
    </row>
    <row r="6">
      <c r="A6" s="2" t="inlineStr">
        <is>
          <t>行を追加・更新し、都度このファイルを更新してお渡しします。</t>
        </is>
      </c>
    </row>
    <row r="7">
      <c r="A7" s="2" t="inlineStr"/>
    </row>
    <row r="8">
      <c r="A8" s="3" t="inlineStr">
        <is>
          <t>■ 絞り込み方法</t>
        </is>
      </c>
    </row>
    <row r="9">
      <c r="A9" s="2" t="inlineStr">
        <is>
          <t>「案件一覧」シートの1行目（見出し行）にはフィルターが設定済みです。</t>
        </is>
      </c>
    </row>
    <row r="10">
      <c r="A10" s="2" t="inlineStr">
        <is>
          <t>各列の見出しにある▼をクリックすると、その項目の値で絞り込み・並べ替えができます。</t>
        </is>
      </c>
    </row>
    <row r="11">
      <c r="A11" s="2" t="inlineStr">
        <is>
          <t>例：「優先度」列で「本命」だけに絞る／「リスティング可否」列で「NG」を除外する、など。</t>
        </is>
      </c>
    </row>
    <row r="12">
      <c r="A12" s="2" t="inlineStr"/>
    </row>
    <row r="13">
      <c r="A13" s="3" t="inlineStr">
        <is>
          <t>■ 列の見方</t>
        </is>
      </c>
    </row>
    <row r="14">
      <c r="A14" s="2" t="inlineStr">
        <is>
          <t>・報酬(円) / 確定率 / EPC(円) は数値列です。実質単価(円)は「報酬×確定率」の自動計算（両方とも数値がある場合のみ）。</t>
        </is>
      </c>
    </row>
    <row r="15">
      <c r="A15" s="2" t="inlineStr">
        <is>
          <t>・確定率が「データなし」「表示なし」の案件は空欄にしています（0%と区別するため）。</t>
        </is>
      </c>
    </row>
    <row r="16">
      <c r="A16" s="2" t="inlineStr">
        <is>
          <t>・「未確認」「不明」は、まだ元データに記載がない／読み取れていない項目です。空欄より優先して埋めてください。</t>
        </is>
      </c>
    </row>
    <row r="17">
      <c r="A17" s="2" t="inlineStr">
        <is>
          <t>・「詳細確認状況」列で、まだ写真をもらっていない案件（＝未分析）を絞り込めます。</t>
        </is>
      </c>
    </row>
    <row r="18">
      <c r="A18" s="2" t="inlineStr"/>
    </row>
    <row r="19">
      <c r="A19" s="3" t="inlineStr">
        <is>
          <t>■ データの限界</t>
        </is>
      </c>
    </row>
    <row r="20">
      <c r="A20" s="2" t="inlineStr">
        <is>
          <t>・初期データの出所：A8.net 即時提携プログラム一覧PDF (2026-09-03/09-05時点)</t>
        </is>
      </c>
    </row>
    <row r="21">
      <c r="A21" s="2" t="inlineStr">
        <is>
          <t>・数値・条件は元PDFを読み取った内容の整理であり、提携申請前に必ずA8.net上の実際の案件詳細ページで再確認してください。</t>
        </is>
      </c>
    </row>
    <row r="22">
      <c r="A22" s="2" t="inlineStr">
        <is>
          <t>・SNS集客可否・LINE誘導可否は、16件の詳細分析済み案件でも「明記なし」がほとんどです。提携申請時のアピールサイト審査で個別に判断されます。</t>
        </is>
      </c>
    </row>
    <row r="23">
      <c r="A23" s="2" t="inlineStr"/>
    </row>
    <row r="24">
      <c r="A24" s="3" t="inlineStr">
        <is>
          <t>■ 関連ドキュメント（本リポジトリ内）</t>
        </is>
      </c>
    </row>
    <row r="25">
      <c r="A25" s="2" t="inlineStr">
        <is>
          <t>Threadsアフィリエイト/11-A8ネット転職ASP案件マップ.md</t>
        </is>
      </c>
    </row>
    <row r="26">
      <c r="A26" s="2" t="inlineStr">
        <is>
          <t>Threadsアフィリエイト/10-出口設計とLTV.md</t>
        </is>
      </c>
    </row>
    <row r="27">
      <c r="A27" s="2" t="inlineStr">
        <is>
          <t>Threadsアフィリエイト/03-規約・法令チェックリスト.md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4" customWidth="1" min="4" max="4"/>
    <col width="26" customWidth="1" min="5" max="5"/>
    <col width="11" customWidth="1" min="6" max="6"/>
    <col width="30" customWidth="1" min="7" max="7"/>
    <col width="16" customWidth="1" min="8" max="8"/>
    <col width="9" customWidth="1" min="9" max="9"/>
    <col width="10" customWidth="1" min="10" max="10"/>
    <col width="11" customWidth="1" min="11" max="11"/>
    <col width="12" customWidth="1" min="12" max="12"/>
    <col width="12" customWidth="1" min="13" max="13"/>
    <col width="34" customWidth="1" min="14" max="14"/>
    <col width="34" customWidth="1" min="15" max="15"/>
    <col width="12" customWidth="1" min="16" max="16"/>
    <col width="12" customWidth="1" min="17" max="17"/>
    <col width="22" customWidth="1" min="18" max="18"/>
    <col width="12" customWidth="1" min="19" max="19"/>
    <col width="10" customWidth="1" min="20" max="20"/>
    <col width="22" customWidth="1" min="21" max="21"/>
    <col width="12" customWidth="1" min="22" max="22"/>
    <col width="40" customWidth="1" min="23" max="23"/>
    <col width="12" customWidth="1" min="24" max="24"/>
    <col width="30" customWidth="1" min="25" max="25"/>
    <col width="12" customWidth="1" min="26" max="26"/>
  </cols>
  <sheetData>
    <row r="1" ht="30" customHeight="1">
      <c r="A1" s="4" t="inlineStr">
        <is>
          <t>No.</t>
        </is>
      </c>
      <c r="B1" s="4" t="inlineStr">
        <is>
          <t>案件名</t>
        </is>
      </c>
      <c r="C1" s="4" t="inlineStr">
        <is>
          <t>広告主</t>
        </is>
      </c>
      <c r="D1" s="4" t="inlineStr">
        <is>
          <t>ジャンル区分</t>
        </is>
      </c>
      <c r="E1" s="4" t="inlineStr">
        <is>
          <t>対象・ターゲット</t>
        </is>
      </c>
      <c r="F1" s="4" t="inlineStr">
        <is>
          <t>報酬(円)</t>
        </is>
      </c>
      <c r="G1" s="4" t="inlineStr">
        <is>
          <t>報酬メモ</t>
        </is>
      </c>
      <c r="H1" s="4" t="inlineStr">
        <is>
          <t>成果地点</t>
        </is>
      </c>
      <c r="I1" s="4" t="inlineStr">
        <is>
          <t>確定率</t>
        </is>
      </c>
      <c r="J1" s="4" t="inlineStr">
        <is>
          <t>EPC(円)</t>
        </is>
      </c>
      <c r="K1" s="4" t="inlineStr">
        <is>
          <t>実質単価(円)</t>
        </is>
      </c>
      <c r="L1" s="4" t="inlineStr">
        <is>
          <t>クッキー期間</t>
        </is>
      </c>
      <c r="M1" s="4" t="inlineStr">
        <is>
          <t>確定目安</t>
        </is>
      </c>
      <c r="N1" s="4" t="inlineStr">
        <is>
          <t>承認条件</t>
        </is>
      </c>
      <c r="O1" s="4" t="inlineStr">
        <is>
          <t>否認条件</t>
        </is>
      </c>
      <c r="P1" s="4" t="inlineStr">
        <is>
          <t>リスティング可否</t>
        </is>
      </c>
      <c r="Q1" s="4" t="inlineStr">
        <is>
          <t>本人申込可否</t>
        </is>
      </c>
      <c r="R1" s="4" t="inlineStr">
        <is>
          <t>SNS集客可否</t>
        </is>
      </c>
      <c r="S1" s="4" t="inlineStr">
        <is>
          <t>LINE誘導可否</t>
        </is>
      </c>
      <c r="T1" s="4" t="inlineStr">
        <is>
          <t>審査有無</t>
        </is>
      </c>
      <c r="U1" s="4" t="inlineStr">
        <is>
          <t>画像素材制限</t>
        </is>
      </c>
      <c r="V1" s="4" t="inlineStr">
        <is>
          <t>優先度</t>
        </is>
      </c>
      <c r="W1" s="4" t="inlineStr">
        <is>
          <t>判定・コメント</t>
        </is>
      </c>
      <c r="X1" s="4" t="inlineStr">
        <is>
          <t>詳細確認状況</t>
        </is>
      </c>
      <c r="Y1" s="4" t="inlineStr">
        <is>
          <t>データ出所</t>
        </is>
      </c>
      <c r="Z1" s="4" t="inlineStr">
        <is>
          <t>追加日</t>
        </is>
      </c>
    </row>
    <row r="2">
      <c r="A2" s="5" t="n">
        <v>1</v>
      </c>
      <c r="B2" s="5" t="inlineStr">
        <is>
          <t>JAIC就職カレッジ</t>
        </is>
      </c>
      <c r="C2" s="5" t="inlineStr">
        <is>
          <t>株式会社ジェイック</t>
        </is>
      </c>
      <c r="D2" s="5" t="inlineStr">
        <is>
          <t>未経験・一般</t>
        </is>
      </c>
      <c r="E2" s="5" t="inlineStr">
        <is>
          <t>20代のフリーター・既卒・大学中退者</t>
        </is>
      </c>
      <c r="F2" s="6" t="n">
        <v>22000</v>
      </c>
      <c r="G2" s="5" t="inlineStr">
        <is>
          <t>キャンペーン中（通常15,000円）。2件以上承認で19,500円、5件以上で24,500円（税抜、適用開始10/5〜、期限2026/09/25）</t>
        </is>
      </c>
      <c r="H2" s="5" t="inlineStr">
        <is>
          <t>面談実施完了</t>
        </is>
      </c>
      <c r="I2" s="7" t="n">
        <v>0.4395</v>
      </c>
      <c r="J2" s="6" t="n">
        <v>917</v>
      </c>
      <c r="K2" s="8">
        <f>IF(OR(F2="",I2=""),"",F2*I2)</f>
        <v/>
      </c>
      <c r="L2" s="5" t="inlineStr">
        <is>
          <t>90日［初回のみ］</t>
        </is>
      </c>
      <c r="M2" s="5" t="inlineStr">
        <is>
          <t>約30日</t>
        </is>
      </c>
      <c r="N2" s="5" t="inlineStr">
        <is>
          <t>広告主新規／WEB申込後30日以内の面談実施完了／対象エリア限定／精神疾患をお持ちでない方</t>
        </is>
      </c>
      <c r="O2" s="5" t="inlineStr">
        <is>
          <t>キャンセル・不正・申込不備・虚偽・いたずら・重複成果・本人確認不備・1世帯2回以上・リスティング違反</t>
        </is>
      </c>
      <c r="P2" s="5" t="inlineStr">
        <is>
          <t>NG</t>
        </is>
      </c>
      <c r="Q2" s="5" t="inlineStr">
        <is>
          <t>NG</t>
        </is>
      </c>
      <c r="R2" s="5" t="inlineStr">
        <is>
          <t>未確認</t>
        </is>
      </c>
      <c r="S2" s="5" t="inlineStr">
        <is>
          <t>未確認</t>
        </is>
      </c>
      <c r="T2" s="5" t="inlineStr">
        <is>
          <t>あり</t>
        </is>
      </c>
      <c r="U2" s="5" t="inlineStr">
        <is>
          <t>不明</t>
        </is>
      </c>
      <c r="V2" s="5" t="inlineStr">
        <is>
          <t>本命</t>
        </is>
      </c>
      <c r="W2" s="5" t="inlineStr">
        <is>
          <t>書類選考なしの集団選考会が独自の強み。EPCが非医療で最高。承認条件に精神疾患の有無があるため訴求は「正社員になりたい」方向に寄せる</t>
        </is>
      </c>
      <c r="X2" s="5" t="inlineStr">
        <is>
          <t>済</t>
        </is>
      </c>
      <c r="Y2" s="5" t="inlineStr">
        <is>
          <t>A8.net 即時提携プログラム一覧PDF (2026-09-03/09-05時点)</t>
        </is>
      </c>
      <c r="Z2" s="5" t="inlineStr">
        <is>
          <t>2026-09-05</t>
        </is>
      </c>
    </row>
    <row r="3">
      <c r="A3" s="5" t="n">
        <v>2</v>
      </c>
      <c r="B3" s="5" t="inlineStr">
        <is>
          <t>ナース専科 転職</t>
        </is>
      </c>
      <c r="C3" s="5" t="inlineStr">
        <is>
          <t>株式会社エス・エム・エス</t>
        </is>
      </c>
      <c r="D3" s="5" t="inlineStr">
        <is>
          <t>医療(看護師)</t>
        </is>
      </c>
      <c r="E3" s="5" t="inlineStr">
        <is>
          <t>看護師</t>
        </is>
      </c>
      <c r="F3" s="6" t="n">
        <v>26000</v>
      </c>
      <c r="G3" s="5" t="inlineStr"/>
      <c r="H3" s="5" t="inlineStr">
        <is>
          <t>新規申込</t>
        </is>
      </c>
      <c r="I3" s="7" t="n">
        <v>0.9871</v>
      </c>
      <c r="J3" s="6" t="n">
        <v>4281</v>
      </c>
      <c r="K3" s="8">
        <f>IF(OR(F3="",I3=""),"",F3*I3)</f>
        <v/>
      </c>
      <c r="L3" s="5" t="inlineStr"/>
      <c r="M3" s="5" t="inlineStr"/>
      <c r="N3" s="5" t="inlineStr">
        <is>
          <t>WEB申込後、電話がつながり本人確認＋転職意向確認</t>
        </is>
      </c>
      <c r="O3" s="5" t="inlineStr">
        <is>
          <t>看護学生・准看護師は対象外／虚偽・いたずら／リスティング違反</t>
        </is>
      </c>
      <c r="P3" s="5" t="inlineStr">
        <is>
          <t>NG</t>
        </is>
      </c>
      <c r="Q3" s="5" t="inlineStr">
        <is>
          <t>NG</t>
        </is>
      </c>
      <c r="R3" s="5" t="inlineStr">
        <is>
          <t>未確認</t>
        </is>
      </c>
      <c r="S3" s="5" t="inlineStr">
        <is>
          <t>未確認</t>
        </is>
      </c>
      <c r="T3" s="5" t="inlineStr">
        <is>
          <t>不明</t>
        </is>
      </c>
      <c r="U3" s="5" t="inlineStr">
        <is>
          <t>不明</t>
        </is>
      </c>
      <c r="V3" s="5" t="inlineStr">
        <is>
          <t>A</t>
        </is>
      </c>
      <c r="W3" s="5" t="inlineStr">
        <is>
          <t>確定率・EPCともに全体最高クラス。備考欄に掲載ルール7項目あり全文要確認</t>
        </is>
      </c>
      <c r="X3" s="5" t="inlineStr">
        <is>
          <t>済</t>
        </is>
      </c>
      <c r="Y3" s="5" t="inlineStr">
        <is>
          <t>A8.net 即時提携プログラム一覧PDF (2026-09-03/09-05時点)</t>
        </is>
      </c>
      <c r="Z3" s="5" t="inlineStr">
        <is>
          <t>2026-09-05</t>
        </is>
      </c>
    </row>
    <row r="4">
      <c r="A4" s="5" t="n">
        <v>3</v>
      </c>
      <c r="B4" s="5" t="inlineStr">
        <is>
          <t>ユニゾンキャリア</t>
        </is>
      </c>
      <c r="C4" s="5" t="inlineStr">
        <is>
          <t>未確認</t>
        </is>
      </c>
      <c r="D4" s="5" t="inlineStr">
        <is>
          <t>IT(未経験可)</t>
        </is>
      </c>
      <c r="E4" s="5" t="inlineStr">
        <is>
          <t>ITエンジニア</t>
        </is>
      </c>
      <c r="F4" s="6" t="n">
        <v>18000</v>
      </c>
      <c r="G4" s="5" t="inlineStr"/>
      <c r="H4" s="5" t="inlineStr">
        <is>
          <t>無料相談</t>
        </is>
      </c>
      <c r="I4" s="7" t="n">
        <v>0.8666</v>
      </c>
      <c r="J4" s="6" t="n">
        <v>2059</v>
      </c>
      <c r="K4" s="8">
        <f>IF(OR(F4="",I4=""),"",F4*I4)</f>
        <v/>
      </c>
      <c r="L4" s="5" t="inlineStr"/>
      <c r="M4" s="5" t="inlineStr"/>
      <c r="N4" s="5" t="inlineStr">
        <is>
          <t>未確認（一覧値のみ）</t>
        </is>
      </c>
      <c r="O4" s="5" t="inlineStr">
        <is>
          <t>未確認（一覧値のみ）</t>
        </is>
      </c>
      <c r="P4" s="5" t="inlineStr">
        <is>
          <t>未確認</t>
        </is>
      </c>
      <c r="Q4" s="5" t="inlineStr">
        <is>
          <t>未確認</t>
        </is>
      </c>
      <c r="R4" s="5" t="inlineStr">
        <is>
          <t>未確認</t>
        </is>
      </c>
      <c r="S4" s="5" t="inlineStr">
        <is>
          <t>未確認</t>
        </is>
      </c>
      <c r="T4" s="5" t="inlineStr">
        <is>
          <t>未確認</t>
        </is>
      </c>
      <c r="U4" s="5" t="inlineStr">
        <is>
          <t>未確認</t>
        </is>
      </c>
      <c r="V4" s="5" t="inlineStr">
        <is>
          <t>要詳細確認</t>
        </is>
      </c>
      <c r="W4" s="5" t="inlineStr">
        <is>
          <t>壁が低くEPCも高い唯一の候補だが詳細ページ未確認のため優先度を確定できない</t>
        </is>
      </c>
      <c r="X4" s="5" t="inlineStr">
        <is>
          <t>未確認</t>
        </is>
      </c>
      <c r="Y4" s="5" t="inlineStr">
        <is>
          <t>A8.net 即時提携プログラム一覧PDF (2026-09-03/09-05時点)</t>
        </is>
      </c>
      <c r="Z4" s="5" t="inlineStr">
        <is>
          <t>2026-09-05</t>
        </is>
      </c>
    </row>
    <row r="5">
      <c r="A5" s="5" t="n">
        <v>4</v>
      </c>
      <c r="B5" s="5" t="inlineStr">
        <is>
          <t>国試黒本 治療家エージェント</t>
        </is>
      </c>
      <c r="C5" s="5" t="inlineStr">
        <is>
          <t>株式会社エス・エム・エス</t>
        </is>
      </c>
      <c r="D5" s="5" t="inlineStr">
        <is>
          <t>医療(柔整・鍼灸)</t>
        </is>
      </c>
      <c r="E5" s="5" t="inlineStr">
        <is>
          <t>柔道整復師・鍼灸師・あん摩マッサージ指圧師（資格取得予定の学生も対象）</t>
        </is>
      </c>
      <c r="F5" s="6" t="n">
        <v>26000</v>
      </c>
      <c r="G5" s="5" t="inlineStr"/>
      <c r="H5" s="5" t="inlineStr">
        <is>
          <t>初回登録完了</t>
        </is>
      </c>
      <c r="I5" s="7" t="n">
        <v>0.6714</v>
      </c>
      <c r="J5" s="6" t="n">
        <v>1910</v>
      </c>
      <c r="K5" s="8">
        <f>IF(OR(F5="",I5=""),"",F5*I5)</f>
        <v/>
      </c>
      <c r="L5" s="5" t="inlineStr"/>
      <c r="M5" s="5" t="inlineStr"/>
      <c r="N5" s="5" t="inlineStr">
        <is>
          <t>WEB登録後7日以内に電話連絡＋就職転職意欲の確認</t>
        </is>
      </c>
      <c r="O5" s="5" t="inlineStr">
        <is>
          <t>不備・不正・虚偽・いたずら・重複／リスティング違反</t>
        </is>
      </c>
      <c r="P5" s="5" t="inlineStr">
        <is>
          <t>NG</t>
        </is>
      </c>
      <c r="Q5" s="5" t="inlineStr">
        <is>
          <t>NG</t>
        </is>
      </c>
      <c r="R5" s="5" t="inlineStr">
        <is>
          <t>未確認</t>
        </is>
      </c>
      <c r="S5" s="5" t="inlineStr">
        <is>
          <t>未確認</t>
        </is>
      </c>
      <c r="T5" s="5" t="inlineStr">
        <is>
          <t>不明</t>
        </is>
      </c>
      <c r="U5" s="5" t="inlineStr">
        <is>
          <t>不明</t>
        </is>
      </c>
      <c r="V5" s="5" t="inlineStr">
        <is>
          <t>A</t>
        </is>
      </c>
      <c r="W5" s="5" t="inlineStr">
        <is>
          <t>競合が薄いニッチ。専門学校生という毎年入れ替わる需要</t>
        </is>
      </c>
      <c r="X5" s="5" t="inlineStr">
        <is>
          <t>済</t>
        </is>
      </c>
      <c r="Y5" s="5" t="inlineStr">
        <is>
          <t>A8.net 即時提携プログラム一覧PDF (2026-09-03/09-05時点)</t>
        </is>
      </c>
      <c r="Z5" s="5" t="inlineStr">
        <is>
          <t>2026-09-05</t>
        </is>
      </c>
    </row>
    <row r="6">
      <c r="A6" s="5" t="n">
        <v>5</v>
      </c>
      <c r="B6" s="5" t="inlineStr">
        <is>
          <t>テックゲートエキスパート</t>
        </is>
      </c>
      <c r="C6" s="5" t="inlineStr">
        <is>
          <t>未確認</t>
        </is>
      </c>
      <c r="D6" s="5" t="inlineStr">
        <is>
          <t>IT(ハイクラス)</t>
        </is>
      </c>
      <c r="E6" s="5" t="inlineStr">
        <is>
          <t>20〜30代ITコンサル・エンジニア</t>
        </is>
      </c>
      <c r="F6" s="6" t="n">
        <v>54000</v>
      </c>
      <c r="G6" s="5" t="inlineStr"/>
      <c r="H6" s="5" t="inlineStr">
        <is>
          <t>面談完了</t>
        </is>
      </c>
      <c r="I6" s="7" t="n">
        <v>0.75</v>
      </c>
      <c r="J6" s="6" t="n">
        <v>761</v>
      </c>
      <c r="K6" s="8">
        <f>IF(OR(F6="",I6=""),"",F6*I6)</f>
        <v/>
      </c>
      <c r="L6" s="5" t="inlineStr"/>
      <c r="M6" s="5" t="inlineStr"/>
      <c r="N6" s="5" t="inlineStr">
        <is>
          <t>未確認（一覧値のみ）</t>
        </is>
      </c>
      <c r="O6" s="5" t="inlineStr">
        <is>
          <t>未確認（一覧値のみ）</t>
        </is>
      </c>
      <c r="P6" s="5" t="inlineStr">
        <is>
          <t>未確認</t>
        </is>
      </c>
      <c r="Q6" s="5" t="inlineStr">
        <is>
          <t>未確認</t>
        </is>
      </c>
      <c r="R6" s="5" t="inlineStr">
        <is>
          <t>未確認</t>
        </is>
      </c>
      <c r="S6" s="5" t="inlineStr">
        <is>
          <t>未確認</t>
        </is>
      </c>
      <c r="T6" s="5" t="inlineStr">
        <is>
          <t>未確認</t>
        </is>
      </c>
      <c r="U6" s="5" t="inlineStr">
        <is>
          <t>未確認</t>
        </is>
      </c>
      <c r="V6" s="5" t="inlineStr">
        <is>
          <t>要詳細確認</t>
        </is>
      </c>
      <c r="W6" s="5" t="inlineStr">
        <is>
          <t>報酬とEPCのバランスは良いが詳細ページ未確認</t>
        </is>
      </c>
      <c r="X6" s="5" t="inlineStr">
        <is>
          <t>未確認</t>
        </is>
      </c>
      <c r="Y6" s="5" t="inlineStr">
        <is>
          <t>A8.net 即時提携プログラム一覧PDF (2026-09-03/09-05時点)</t>
        </is>
      </c>
      <c r="Z6" s="5" t="inlineStr">
        <is>
          <t>2026-09-05</t>
        </is>
      </c>
    </row>
    <row r="7">
      <c r="A7" s="5" t="n">
        <v>6</v>
      </c>
      <c r="B7" s="5" t="inlineStr">
        <is>
          <t>ファル・メイト</t>
        </is>
      </c>
      <c r="C7" s="5" t="inlineStr">
        <is>
          <t>株式会社ファル・メイト</t>
        </is>
      </c>
      <c r="D7" s="5" t="inlineStr">
        <is>
          <t>医療(薬剤師)</t>
        </is>
      </c>
      <c r="E7" s="5" t="inlineStr">
        <is>
          <t>薬剤師</t>
        </is>
      </c>
      <c r="F7" s="6" t="n">
        <v>25000</v>
      </c>
      <c r="G7" s="5" t="inlineStr"/>
      <c r="H7" s="5" t="inlineStr">
        <is>
          <t>新規会員登録</t>
        </is>
      </c>
      <c r="I7" s="7" t="n">
        <v>0.8076</v>
      </c>
      <c r="J7" s="6" t="n">
        <v>575</v>
      </c>
      <c r="K7" s="8">
        <f>IF(OR(F7="",I7=""),"",F7*I7)</f>
        <v/>
      </c>
      <c r="L7" s="5" t="inlineStr"/>
      <c r="M7" s="5" t="inlineStr"/>
      <c r="N7" s="5" t="inlineStr">
        <is>
          <t>WEBより会員登録完了／薬剤師資格保有／就業意欲あり</t>
        </is>
      </c>
      <c r="O7" s="5" t="inlineStr">
        <is>
          <t>資格確認・本人確認が取れない／日本国内以外／就業意欲なし／虚偽・迷惑・いたずら・入力不備</t>
        </is>
      </c>
      <c r="P7" s="5" t="inlineStr">
        <is>
          <t>NG</t>
        </is>
      </c>
      <c r="Q7" s="5" t="inlineStr">
        <is>
          <t>NG</t>
        </is>
      </c>
      <c r="R7" s="5" t="inlineStr">
        <is>
          <t>未確認</t>
        </is>
      </c>
      <c r="S7" s="5" t="inlineStr">
        <is>
          <t>未確認</t>
        </is>
      </c>
      <c r="T7" s="5" t="inlineStr">
        <is>
          <t>不明</t>
        </is>
      </c>
      <c r="U7" s="5" t="inlineStr">
        <is>
          <t>不明</t>
        </is>
      </c>
      <c r="V7" s="5" t="inlineStr">
        <is>
          <t>A</t>
        </is>
      </c>
      <c r="W7" s="5" t="inlineStr">
        <is>
          <t>成果地点は最も浅いが到達率は低い（約35クリックで1件）</t>
        </is>
      </c>
      <c r="X7" s="5" t="inlineStr">
        <is>
          <t>済</t>
        </is>
      </c>
      <c r="Y7" s="5" t="inlineStr">
        <is>
          <t>A8.net 即時提携プログラム一覧PDF (2026-09-03/09-05時点)</t>
        </is>
      </c>
      <c r="Z7" s="5" t="inlineStr">
        <is>
          <t>2026-09-05</t>
        </is>
      </c>
    </row>
    <row r="8">
      <c r="A8" s="5" t="n">
        <v>7</v>
      </c>
      <c r="B8" s="5" t="inlineStr">
        <is>
          <t>MyVision（コンサル特化）</t>
        </is>
      </c>
      <c r="C8" s="5" t="inlineStr">
        <is>
          <t>株式会社MyVision</t>
        </is>
      </c>
      <c r="D8" s="5" t="inlineStr">
        <is>
          <t>ハイクラス</t>
        </is>
      </c>
      <c r="E8" s="5" t="inlineStr">
        <is>
          <t>24〜30歳</t>
        </is>
      </c>
      <c r="F8" s="6" t="n">
        <v>18000</v>
      </c>
      <c r="G8" s="5" t="inlineStr"/>
      <c r="H8" s="5" t="inlineStr">
        <is>
          <t>新規面談</t>
        </is>
      </c>
      <c r="I8" s="7" t="n">
        <v>0.2467</v>
      </c>
      <c r="J8" s="6" t="n">
        <v>302</v>
      </c>
      <c r="K8" s="8">
        <f>IF(OR(F8="",I8=""),"",F8*I8)</f>
        <v/>
      </c>
      <c r="L8" s="5" t="inlineStr"/>
      <c r="M8" s="5" t="inlineStr"/>
      <c r="N8" s="5" t="inlineStr">
        <is>
          <t>WEB申込後30日以内の無料面談実施完了／対象24〜30歳</t>
        </is>
      </c>
      <c r="O8" s="5" t="inlineStr">
        <is>
          <t>虚偽・重複・申込不備・キャンセル／1世帯2回以上／面談内容不十分／利用意思なし</t>
        </is>
      </c>
      <c r="P8" s="5" t="inlineStr">
        <is>
          <t>NG</t>
        </is>
      </c>
      <c r="Q8" s="5" t="inlineStr">
        <is>
          <t>NG</t>
        </is>
      </c>
      <c r="R8" s="5" t="inlineStr">
        <is>
          <t>未確認</t>
        </is>
      </c>
      <c r="S8" s="5" t="inlineStr">
        <is>
          <t>未確認</t>
        </is>
      </c>
      <c r="T8" s="5" t="inlineStr">
        <is>
          <t>あり</t>
        </is>
      </c>
      <c r="U8" s="5" t="inlineStr">
        <is>
          <t>不明</t>
        </is>
      </c>
      <c r="V8" s="5" t="inlineStr">
        <is>
          <t>低</t>
        </is>
      </c>
      <c r="W8" s="5" t="inlineStr">
        <is>
          <t>「掲載を検討する場合、広告主より掲載の可否を確認」＝事実上の事前承認制。データは3年分あり信頼できる</t>
        </is>
      </c>
      <c r="X8" s="5" t="inlineStr">
        <is>
          <t>済</t>
        </is>
      </c>
      <c r="Y8" s="5" t="inlineStr">
        <is>
          <t>A8.net 即時提携プログラム一覧PDF (2026-09-03/09-05時点)</t>
        </is>
      </c>
      <c r="Z8" s="5" t="inlineStr">
        <is>
          <t>2026-09-05</t>
        </is>
      </c>
    </row>
    <row r="9">
      <c r="A9" s="5" t="n">
        <v>8</v>
      </c>
      <c r="B9" s="5" t="inlineStr">
        <is>
          <t>GKSキャリア</t>
        </is>
      </c>
      <c r="C9" s="5" t="inlineStr">
        <is>
          <t>株式会社free_mova</t>
        </is>
      </c>
      <c r="D9" s="5" t="inlineStr">
        <is>
          <t>建設・施工管理</t>
        </is>
      </c>
      <c r="E9" s="5" t="inlineStr">
        <is>
          <t>18〜35歳前後、エリア限定（東京/千葉/埼玉/神奈川/愛知/大阪/兵庫等）</t>
        </is>
      </c>
      <c r="F9" s="6" t="n">
        <v>25000</v>
      </c>
      <c r="G9" s="5" t="inlineStr"/>
      <c r="H9" s="5" t="inlineStr">
        <is>
          <t>新規面談実施</t>
        </is>
      </c>
      <c r="I9" s="7" t="n">
        <v>0.2558</v>
      </c>
      <c r="J9" s="6" t="n">
        <v>246</v>
      </c>
      <c r="K9" s="8">
        <f>IF(OR(F9="",I9=""),"",F9*I9)</f>
        <v/>
      </c>
      <c r="L9" s="5" t="inlineStr"/>
      <c r="M9" s="5" t="inlineStr">
        <is>
          <t>約345日（他案件は約30日、要確認）</t>
        </is>
      </c>
      <c r="N9" s="5" t="inlineStr">
        <is>
          <t>WEBより申込、面談実施完了／年齢18〜35歳前後／エリア限定</t>
        </is>
      </c>
      <c r="O9" s="5" t="inlineStr">
        <is>
          <t>虚偽・悪戯・入力不備・不正応募・連絡不通／学歴による除外／外国籍の方からの申込／同業者・競合企業からの申込／リスティング違反</t>
        </is>
      </c>
      <c r="P9" s="5" t="inlineStr">
        <is>
          <t>NG</t>
        </is>
      </c>
      <c r="Q9" s="5" t="inlineStr">
        <is>
          <t>未確認</t>
        </is>
      </c>
      <c r="R9" s="5" t="inlineStr">
        <is>
          <t>未確認</t>
        </is>
      </c>
      <c r="S9" s="5" t="inlineStr">
        <is>
          <t>未確認</t>
        </is>
      </c>
      <c r="T9" s="5" t="inlineStr">
        <is>
          <t>不明</t>
        </is>
      </c>
      <c r="U9" s="5" t="inlineStr">
        <is>
          <t>不明</t>
        </is>
      </c>
      <c r="V9" s="5" t="inlineStr">
        <is>
          <t>低</t>
        </is>
      </c>
      <c r="W9" s="5" t="inlineStr">
        <is>
          <t>母集団が四方から削られている</t>
        </is>
      </c>
      <c r="X9" s="5" t="inlineStr">
        <is>
          <t>済</t>
        </is>
      </c>
      <c r="Y9" s="5" t="inlineStr">
        <is>
          <t>A8.net 即時提携プログラム一覧PDF (2026-09-03/09-05時点)</t>
        </is>
      </c>
      <c r="Z9" s="5" t="inlineStr">
        <is>
          <t>2026-09-05</t>
        </is>
      </c>
    </row>
    <row r="10">
      <c r="A10" s="5" t="n">
        <v>9</v>
      </c>
      <c r="B10" s="5" t="inlineStr">
        <is>
          <t>明光キャリアパートナーズ エンジニア転職</t>
        </is>
      </c>
      <c r="C10" s="5" t="inlineStr">
        <is>
          <t>株式会社明光キャリアパートナーズ</t>
        </is>
      </c>
      <c r="D10" s="5" t="inlineStr">
        <is>
          <t>IT(ハイクラス)</t>
        </is>
      </c>
      <c r="E10" s="5" t="inlineStr">
        <is>
          <t>エンジニア経験者</t>
        </is>
      </c>
      <c r="F10" s="6" t="n">
        <v>78000</v>
      </c>
      <c r="G10" s="5" t="inlineStr">
        <is>
          <t>全案件中の最高単価</t>
        </is>
      </c>
      <c r="H10" s="5" t="inlineStr">
        <is>
          <t>面談設定完了</t>
        </is>
      </c>
      <c r="I10" s="7" t="n">
        <v>0.1196</v>
      </c>
      <c r="J10" s="6" t="n">
        <v>141</v>
      </c>
      <c r="K10" s="8">
        <f>IF(OR(F10="",I10=""),"",F10*I10)</f>
        <v/>
      </c>
      <c r="L10" s="5" t="inlineStr"/>
      <c r="M10" s="5" t="inlineStr"/>
      <c r="N10" s="5" t="inlineStr">
        <is>
          <t>WEB申込後30日以内の面談設定完了／エンジニア経験者</t>
        </is>
      </c>
      <c r="O10" s="5" t="inlineStr">
        <is>
          <t>東京・大阪エリア以外の就職希望者／辞退・連絡不通・日程キャンセル／虚偽・重複・入力不備・本人登録・不正応募／広告主指定ページ以外からの登録／1世帯2回以上</t>
        </is>
      </c>
      <c r="P10" s="5" t="inlineStr">
        <is>
          <t>NG</t>
        </is>
      </c>
      <c r="Q10" s="5" t="inlineStr">
        <is>
          <t>NG</t>
        </is>
      </c>
      <c r="R10" s="5" t="inlineStr">
        <is>
          <t>未確認</t>
        </is>
      </c>
      <c r="S10" s="5" t="inlineStr">
        <is>
          <t>未確認</t>
        </is>
      </c>
      <c r="T10" s="5" t="inlineStr">
        <is>
          <t>あり</t>
        </is>
      </c>
      <c r="U10" s="5" t="inlineStr">
        <is>
          <t>不明</t>
        </is>
      </c>
      <c r="V10" s="5" t="inlineStr">
        <is>
          <t>低</t>
        </is>
      </c>
      <c r="W10" s="5" t="inlineStr">
        <is>
          <t>単価の高さは「誰も取れていない」ことの裏返し</t>
        </is>
      </c>
      <c r="X10" s="5" t="inlineStr">
        <is>
          <t>済</t>
        </is>
      </c>
      <c r="Y10" s="5" t="inlineStr">
        <is>
          <t>A8.net 即時提携プログラム一覧PDF (2026-09-03/09-05時点)</t>
        </is>
      </c>
      <c r="Z10" s="5" t="inlineStr">
        <is>
          <t>2026-09-05</t>
        </is>
      </c>
    </row>
    <row r="11">
      <c r="A11" s="5" t="n">
        <v>10</v>
      </c>
      <c r="B11" s="5" t="inlineStr">
        <is>
          <t>ホワイトアカデミー</t>
        </is>
      </c>
      <c r="C11" s="5" t="inlineStr">
        <is>
          <t>Avalon Consulting株式会社</t>
        </is>
      </c>
      <c r="D11" s="5" t="inlineStr">
        <is>
          <t>未経験・一般</t>
        </is>
      </c>
      <c r="E11" s="5" t="inlineStr">
        <is>
          <t>20代の社会人</t>
        </is>
      </c>
      <c r="F11" s="6" t="n">
        <v>11000</v>
      </c>
      <c r="G11" s="5" t="inlineStr"/>
      <c r="H11" s="5" t="inlineStr">
        <is>
          <t>無料相談参加完了</t>
        </is>
      </c>
      <c r="I11" s="7" t="n"/>
      <c r="J11" s="6" t="n">
        <v>140</v>
      </c>
      <c r="K11" s="8">
        <f>IF(OR(F11="",I11=""),"",F11*I11)</f>
        <v/>
      </c>
      <c r="L11" s="5" t="inlineStr"/>
      <c r="M11" s="5" t="inlineStr"/>
      <c r="N11" s="5" t="inlineStr">
        <is>
          <t>WEB申込後30日以内の無料相談会参加完了／申込者が20代の社会人であること</t>
        </is>
      </c>
      <c r="O11" s="5" t="inlineStr">
        <is>
          <t>重複・空申込・虚偽申込／1世帯2回以上／海外在住の方／無料相談会で途中退席された方</t>
        </is>
      </c>
      <c r="P11" s="5" t="inlineStr">
        <is>
          <t>不明</t>
        </is>
      </c>
      <c r="Q11" s="5" t="inlineStr">
        <is>
          <t>不明</t>
        </is>
      </c>
      <c r="R11" s="5" t="inlineStr">
        <is>
          <t>未確認</t>
        </is>
      </c>
      <c r="S11" s="5" t="inlineStr">
        <is>
          <t>未確認</t>
        </is>
      </c>
      <c r="T11" s="5" t="inlineStr">
        <is>
          <t>不明</t>
        </is>
      </c>
      <c r="U11" s="5" t="inlineStr">
        <is>
          <t>飛び先以外の画像の無断使用NG</t>
        </is>
      </c>
      <c r="V11" s="5" t="inlineStr">
        <is>
          <t>低</t>
        </is>
      </c>
      <c r="W11" s="5" t="inlineStr">
        <is>
          <t>転職エージェントではなく実態は「有料の転職塾」の説明会送客。単価もEPCも低い</t>
        </is>
      </c>
      <c r="X11" s="5" t="inlineStr">
        <is>
          <t>済</t>
        </is>
      </c>
      <c r="Y11" s="5" t="inlineStr">
        <is>
          <t>A8.net 即時提携プログラム一覧PDF (2026-09-03/09-05時点)</t>
        </is>
      </c>
      <c r="Z11" s="5" t="inlineStr">
        <is>
          <t>2026-09-05</t>
        </is>
      </c>
    </row>
    <row r="12">
      <c r="A12" s="5" t="n">
        <v>11</v>
      </c>
      <c r="B12" s="5" t="inlineStr">
        <is>
          <t>ユメキャリ転職エージェント</t>
        </is>
      </c>
      <c r="C12" s="5" t="inlineStr">
        <is>
          <t>ReveCareerAgency株式会社</t>
        </is>
      </c>
      <c r="D12" s="5" t="inlineStr">
        <is>
          <t>未経験・一般</t>
        </is>
      </c>
      <c r="E12" s="5" t="inlineStr">
        <is>
          <t>関西・中部中心</t>
        </is>
      </c>
      <c r="F12" s="6" t="n">
        <v>13000</v>
      </c>
      <c r="G12" s="5" t="inlineStr"/>
      <c r="H12" s="5" t="inlineStr">
        <is>
          <t>新規キャリアカウンセリング</t>
        </is>
      </c>
      <c r="I12" s="7" t="n">
        <v>0.4496</v>
      </c>
      <c r="J12" s="6" t="n">
        <v>33</v>
      </c>
      <c r="K12" s="8">
        <f>IF(OR(F12="",I12=""),"",F12*I12)</f>
        <v/>
      </c>
      <c r="L12" s="5" t="inlineStr"/>
      <c r="M12" s="5" t="inlineStr"/>
      <c r="N12" s="5" t="inlineStr">
        <is>
          <t>WEB応募後30日以内のキャリアカウンセリング完了</t>
        </is>
      </c>
      <c r="O12" s="5" t="inlineStr">
        <is>
          <t>キャンセル・空申請・入力不備・なりすまし／1世帯2回以上／★LINE経由の申込／リスティング違反</t>
        </is>
      </c>
      <c r="P12" s="5" t="inlineStr">
        <is>
          <t>NG</t>
        </is>
      </c>
      <c r="Q12" s="5" t="inlineStr">
        <is>
          <t>不明</t>
        </is>
      </c>
      <c r="R12" s="5" t="inlineStr">
        <is>
          <t>未確認</t>
        </is>
      </c>
      <c r="S12" s="5" t="inlineStr">
        <is>
          <t>NG</t>
        </is>
      </c>
      <c r="T12" s="5" t="inlineStr">
        <is>
          <t>不明</t>
        </is>
      </c>
      <c r="U12" s="5" t="inlineStr">
        <is>
          <t>不明</t>
        </is>
      </c>
      <c r="V12" s="5" t="inlineStr">
        <is>
          <t>最下位</t>
        </is>
      </c>
      <c r="W12" s="5" t="inlineStr">
        <is>
          <t>16件で唯一LINE経由の申込を明示的に禁止。確定率は良いが到達率が壊滅的（約177クリックで1件）</t>
        </is>
      </c>
      <c r="X12" s="5" t="inlineStr">
        <is>
          <t>済</t>
        </is>
      </c>
      <c r="Y12" s="5" t="inlineStr">
        <is>
          <t>A8.net 即時提携プログラム一覧PDF (2026-09-03/09-05時点)</t>
        </is>
      </c>
      <c r="Z12" s="5" t="inlineStr">
        <is>
          <t>2026-09-05</t>
        </is>
      </c>
    </row>
    <row r="13">
      <c r="A13" s="5" t="n">
        <v>12</v>
      </c>
      <c r="B13" s="5" t="inlineStr">
        <is>
          <t>工場求人ワールド</t>
        </is>
      </c>
      <c r="C13" s="5" t="inlineStr">
        <is>
          <t>株式会社ワールドインテック</t>
        </is>
      </c>
      <c r="D13" s="5" t="inlineStr">
        <is>
          <t>未経験・一般</t>
        </is>
      </c>
      <c r="E13" s="5" t="inlineStr">
        <is>
          <t>19〜49歳</t>
        </is>
      </c>
      <c r="F13" s="6" t="n">
        <v>15000</v>
      </c>
      <c r="G13" s="5" t="inlineStr"/>
      <c r="H13" s="5" t="inlineStr">
        <is>
          <t>新規求人応募</t>
        </is>
      </c>
      <c r="I13" s="7" t="n">
        <v>0.4285</v>
      </c>
      <c r="J13" s="6" t="n">
        <v>28</v>
      </c>
      <c r="K13" s="8">
        <f>IF(OR(F13="",I13=""),"",F13*I13)</f>
        <v/>
      </c>
      <c r="L13" s="5" t="inlineStr"/>
      <c r="M13" s="5" t="inlineStr"/>
      <c r="N13" s="5" t="inlineStr">
        <is>
          <t>WEB求人応募後30日以内に電話で氏名・生年月日・電話番号の確認</t>
        </is>
      </c>
      <c r="O13" s="5" t="inlineStr">
        <is>
          <t>不正・申込不備・虚偽・いたずら・重複成果／指定URL外の求人応募／1世帯2回以上／リスティング違反</t>
        </is>
      </c>
      <c r="P13" s="5" t="inlineStr">
        <is>
          <t>NG</t>
        </is>
      </c>
      <c r="Q13" s="5" t="inlineStr">
        <is>
          <t>不明</t>
        </is>
      </c>
      <c r="R13" s="5" t="inlineStr">
        <is>
          <t>未確認</t>
        </is>
      </c>
      <c r="S13" s="5" t="inlineStr">
        <is>
          <t>未確認</t>
        </is>
      </c>
      <c r="T13" s="5" t="inlineStr">
        <is>
          <t>不明</t>
        </is>
      </c>
      <c r="U13" s="5" t="inlineStr">
        <is>
          <t>サイト内の人物画像の使用はNG</t>
        </is>
      </c>
      <c r="V13" s="5" t="inlineStr">
        <is>
          <t>低</t>
        </is>
      </c>
      <c r="W13" s="5" t="inlineStr">
        <is>
          <t>訴求しやすいが数字が出ない典型（約234クリックで1件）</t>
        </is>
      </c>
      <c r="X13" s="5" t="inlineStr">
        <is>
          <t>済</t>
        </is>
      </c>
      <c r="Y13" s="5" t="inlineStr">
        <is>
          <t>A8.net 即時提携プログラム一覧PDF (2026-09-03/09-05時点)</t>
        </is>
      </c>
      <c r="Z13" s="5" t="inlineStr">
        <is>
          <t>2026-09-05</t>
        </is>
      </c>
    </row>
    <row r="14">
      <c r="A14" s="5" t="n">
        <v>13</v>
      </c>
      <c r="B14" s="5" t="inlineStr">
        <is>
          <t>トヨタ自動車 期間工</t>
        </is>
      </c>
      <c r="C14" s="5" t="inlineStr">
        <is>
          <t>株式会社スタッフ東海</t>
        </is>
      </c>
      <c r="D14" s="5" t="inlineStr">
        <is>
          <t>未経験・一般</t>
        </is>
      </c>
      <c r="E14" s="5" t="inlineStr">
        <is>
          <t>男性18〜45歳／女性18〜40歳、外国籍も可（日本語N2以上、ビザ・身分証明必須）</t>
        </is>
      </c>
      <c r="F14" s="6" t="n">
        <v>25000</v>
      </c>
      <c r="G14" s="5" t="inlineStr"/>
      <c r="H14" s="5" t="inlineStr">
        <is>
          <t>新規応募</t>
        </is>
      </c>
      <c r="I14" s="7" t="n"/>
      <c r="J14" s="6" t="n"/>
      <c r="K14" s="8">
        <f>IF(OR(F14="",I14=""),"",F14*I14)</f>
        <v/>
      </c>
      <c r="L14" s="5" t="inlineStr"/>
      <c r="M14" s="5" t="inlineStr"/>
      <c r="N14" s="5" t="inlineStr">
        <is>
          <t>WEB応募後、当日以内（要確認）に電話またはメールで応募内容の確認</t>
        </is>
      </c>
      <c r="O14" s="5" t="inlineStr">
        <is>
          <t>虚偽・重複・申込不備・キャンセル／1世帯2回以上／リスティング違反</t>
        </is>
      </c>
      <c r="P14" s="5" t="inlineStr">
        <is>
          <t>NG</t>
        </is>
      </c>
      <c r="Q14" s="5" t="inlineStr">
        <is>
          <t>NG</t>
        </is>
      </c>
      <c r="R14" s="5" t="inlineStr">
        <is>
          <t>未確認</t>
        </is>
      </c>
      <c r="S14" s="5" t="inlineStr">
        <is>
          <t>未確認</t>
        </is>
      </c>
      <c r="T14" s="5" t="inlineStr">
        <is>
          <t>あり</t>
        </is>
      </c>
      <c r="U14" s="5" t="inlineStr">
        <is>
          <t>不明</t>
        </is>
      </c>
      <c r="V14" s="5" t="inlineStr">
        <is>
          <t>判定不能</t>
        </is>
      </c>
      <c r="W14" s="5" t="inlineStr">
        <is>
          <t>開始から4ヶ月経過して実績なし。14/16件で最も否認条件が少ないが同ジャンルの工場求人ワールドのEPCが低いため優先度は下げる</t>
        </is>
      </c>
      <c r="X14" s="5" t="inlineStr">
        <is>
          <t>済（データ不足）</t>
        </is>
      </c>
      <c r="Y14" s="5" t="inlineStr">
        <is>
          <t>A8.net 即時提携プログラム一覧PDF (2026-09-03/09-05時点)</t>
        </is>
      </c>
      <c r="Z14" s="5" t="inlineStr">
        <is>
          <t>2026-09-05</t>
        </is>
      </c>
    </row>
    <row r="15">
      <c r="A15" s="5" t="n">
        <v>14</v>
      </c>
      <c r="B15" s="5" t="inlineStr">
        <is>
          <t>メーカーズジョブ</t>
        </is>
      </c>
      <c r="C15" s="5" t="inlineStr">
        <is>
          <t>株式会社MyVision</t>
        </is>
      </c>
      <c r="D15" s="5" t="inlineStr">
        <is>
          <t>ハイクラス</t>
        </is>
      </c>
      <c r="E15" s="5" t="inlineStr"/>
      <c r="F15" s="6" t="n">
        <v>50000</v>
      </c>
      <c r="G15" s="5" t="inlineStr">
        <is>
          <t>キャンペーン中（通常18,000円）。1〜3件:50,000円/4〜6件:75,000円/7件〜:100,000円。計測2026/08/15〜09/30、適用2026/10/08〜</t>
        </is>
      </c>
      <c r="H15" s="5" t="inlineStr">
        <is>
          <t>無料面談実施完了</t>
        </is>
      </c>
      <c r="I15" s="7" t="n"/>
      <c r="J15" s="6" t="n">
        <v>27887</v>
      </c>
      <c r="K15" s="8">
        <f>IF(OR(F15="",I15=""),"",F15*I15)</f>
        <v/>
      </c>
      <c r="L15" s="5" t="inlineStr"/>
      <c r="M15" s="5" t="inlineStr"/>
      <c r="N15" s="5" t="inlineStr">
        <is>
          <t>WEB申込後30日以内の無料面談実施完了</t>
        </is>
      </c>
      <c r="O15" s="5" t="inlineStr">
        <is>
          <t>虚偽・重複・申込不備・キャンセル／1世帯2回以上／学生からの申込／面談内容が不十分と判断された場合</t>
        </is>
      </c>
      <c r="P15" s="5" t="inlineStr">
        <is>
          <t>NG</t>
        </is>
      </c>
      <c r="Q15" s="5" t="inlineStr">
        <is>
          <t>不明</t>
        </is>
      </c>
      <c r="R15" s="5" t="inlineStr">
        <is>
          <t>未確認</t>
        </is>
      </c>
      <c r="S15" s="5" t="inlineStr">
        <is>
          <t>未確認</t>
        </is>
      </c>
      <c r="T15" s="5" t="inlineStr">
        <is>
          <t>不明</t>
        </is>
      </c>
      <c r="U15" s="5" t="inlineStr">
        <is>
          <t>不明</t>
        </is>
      </c>
      <c r="V15" s="5" t="inlineStr">
        <is>
          <t>判定不能</t>
        </is>
      </c>
      <c r="W15" s="5" t="inlineStr">
        <is>
          <t>EPC表示は分母が極小のノイズ。確定率不明で判定不能。適用日の記載に9/8と10/8の矛盾あり要確認</t>
        </is>
      </c>
      <c r="X15" s="5" t="inlineStr">
        <is>
          <t>済（データ不足）</t>
        </is>
      </c>
      <c r="Y15" s="5" t="inlineStr">
        <is>
          <t>A8.net 即時提携プログラム一覧PDF (2026-09-03/09-05時点)</t>
        </is>
      </c>
      <c r="Z15" s="5" t="inlineStr">
        <is>
          <t>2026-09-05</t>
        </is>
      </c>
    </row>
    <row r="16">
      <c r="A16" s="5" t="n">
        <v>15</v>
      </c>
      <c r="B16" s="5" t="inlineStr">
        <is>
          <t>NewMA</t>
        </is>
      </c>
      <c r="C16" s="5" t="inlineStr">
        <is>
          <t>NewMA株式会社</t>
        </is>
      </c>
      <c r="D16" s="5" t="inlineStr">
        <is>
          <t>ハイクラス(M&amp;A)</t>
        </is>
      </c>
      <c r="E16" s="5" t="inlineStr">
        <is>
          <t>24〜34歳</t>
        </is>
      </c>
      <c r="F16" s="6" t="n">
        <v>34616</v>
      </c>
      <c r="G16" s="5" t="inlineStr"/>
      <c r="H16" s="5" t="inlineStr">
        <is>
          <t>新規無料相談申込完了</t>
        </is>
      </c>
      <c r="I16" s="7" t="n"/>
      <c r="J16" s="6" t="n"/>
      <c r="K16" s="8">
        <f>IF(OR(F16="",I16=""),"",F16*I16)</f>
        <v/>
      </c>
      <c r="L16" s="5" t="inlineStr"/>
      <c r="M16" s="5" t="inlineStr"/>
      <c r="N16" s="5" t="inlineStr">
        <is>
          <t>WEB申込後30日以内に電話＋メールで氏名・年齢・都道府県の確認完了／対象24〜34歳</t>
        </is>
      </c>
      <c r="O16" s="5" t="inlineStr">
        <is>
          <t>不正申込・不備・虚偽・いたずら・重複成果／1世帯2回以上／リスティング違反</t>
        </is>
      </c>
      <c r="P16" s="5" t="inlineStr">
        <is>
          <t>NG</t>
        </is>
      </c>
      <c r="Q16" s="5" t="inlineStr">
        <is>
          <t>不明</t>
        </is>
      </c>
      <c r="R16" s="5" t="inlineStr">
        <is>
          <t>未確認（広告主が記事媒体・業界特化型メディアとの連携を希望）</t>
        </is>
      </c>
      <c r="S16" s="5" t="inlineStr">
        <is>
          <t>未確認</t>
        </is>
      </c>
      <c r="T16" s="5" t="inlineStr">
        <is>
          <t>不明</t>
        </is>
      </c>
      <c r="U16" s="5" t="inlineStr">
        <is>
          <t>不明</t>
        </is>
      </c>
      <c r="V16" s="5" t="inlineStr">
        <is>
          <t>判定不能</t>
        </is>
      </c>
      <c r="W16" s="5" t="inlineStr">
        <is>
          <t>開始直後(2026/08/31〜)で実績データなし。SNS単体アカウントは想定外の可能性</t>
        </is>
      </c>
      <c r="X16" s="5" t="inlineStr">
        <is>
          <t>済（開始直後）</t>
        </is>
      </c>
      <c r="Y16" s="5" t="inlineStr">
        <is>
          <t>A8.net 即時提携プログラム一覧PDF (2026-09-03/09-05時点)</t>
        </is>
      </c>
      <c r="Z16" s="5" t="inlineStr">
        <is>
          <t>2026-09-05</t>
        </is>
      </c>
    </row>
    <row r="17">
      <c r="A17" s="5" t="n">
        <v>16</v>
      </c>
      <c r="B17" s="5" t="inlineStr">
        <is>
          <t>マイナビクリエイター</t>
        </is>
      </c>
      <c r="C17" s="5" t="inlineStr">
        <is>
          <t>株式会社マイナビ</t>
        </is>
      </c>
      <c r="D17" s="5" t="inlineStr">
        <is>
          <t>ハイクラス(クリエイター)</t>
        </is>
      </c>
      <c r="E17" s="5" t="inlineStr"/>
      <c r="F17" s="6" t="n">
        <v>21148</v>
      </c>
      <c r="G17" s="5" t="inlineStr"/>
      <c r="H17" s="5" t="inlineStr">
        <is>
          <t>登録会参加＋個別カウンセリング実施</t>
        </is>
      </c>
      <c r="I17" s="7" t="n">
        <v>0</v>
      </c>
      <c r="J17" s="6" t="n">
        <v>0</v>
      </c>
      <c r="K17" s="8">
        <f>IF(OR(F17="",I17=""),"",F17*I17)</f>
        <v/>
      </c>
      <c r="L17" s="5" t="inlineStr"/>
      <c r="M17" s="5" t="inlineStr"/>
      <c r="N17" s="5" t="inlineStr">
        <is>
          <t>WEB申込後、翌月1日までに登録会参加＋個別カウンセリング実施完了</t>
        </is>
      </c>
      <c r="O17" s="5" t="inlineStr">
        <is>
          <t>セミナー申込・お問い合わせ経由の登録／記載不備・キャンセル・虚偽・無効・イタズラ</t>
        </is>
      </c>
      <c r="P17" s="5" t="inlineStr">
        <is>
          <t>不明</t>
        </is>
      </c>
      <c r="Q17" s="5" t="inlineStr">
        <is>
          <t>不明</t>
        </is>
      </c>
      <c r="R17" s="5" t="inlineStr">
        <is>
          <t>未確認</t>
        </is>
      </c>
      <c r="S17" s="5" t="inlineStr">
        <is>
          <t>未確認</t>
        </is>
      </c>
      <c r="T17" s="5" t="inlineStr">
        <is>
          <t>不明</t>
        </is>
      </c>
      <c r="U17" s="5" t="inlineStr">
        <is>
          <t>不明</t>
        </is>
      </c>
      <c r="V17" s="5" t="inlineStr">
        <is>
          <t>見送り推奨</t>
        </is>
      </c>
      <c r="W17" s="5" t="inlineStr">
        <is>
          <t>開始から5ヶ月経過して実績ゼロ。成果地点も最も深い</t>
        </is>
      </c>
      <c r="X17" s="5" t="inlineStr">
        <is>
          <t>済（実績ゼロ）</t>
        </is>
      </c>
      <c r="Y17" s="5" t="inlineStr">
        <is>
          <t>A8.net 即時提携プログラム一覧PDF (2026-09-03/09-05時点)</t>
        </is>
      </c>
      <c r="Z17" s="5" t="inlineStr">
        <is>
          <t>2026-09-05</t>
        </is>
      </c>
    </row>
    <row r="18">
      <c r="A18" s="5" t="n">
        <v>17</v>
      </c>
      <c r="B18" s="5" t="inlineStr">
        <is>
          <t>techadapt</t>
        </is>
      </c>
      <c r="C18" s="5" t="inlineStr">
        <is>
          <t>未確認</t>
        </is>
      </c>
      <c r="D18" s="5" t="inlineStr">
        <is>
          <t>IT</t>
        </is>
      </c>
      <c r="E18" s="5" t="inlineStr">
        <is>
          <t>ITフリーランス・SE・プログラマ</t>
        </is>
      </c>
      <c r="F18" s="6" t="n">
        <v>70000</v>
      </c>
      <c r="G18" s="5" t="inlineStr"/>
      <c r="H18" s="5" t="inlineStr">
        <is>
          <t>面談</t>
        </is>
      </c>
      <c r="I18" s="7" t="n"/>
      <c r="J18" s="6" t="n"/>
      <c r="K18" s="8">
        <f>IF(OR(F18="",I18=""),"",F18*I18)</f>
        <v/>
      </c>
      <c r="L18" s="5" t="inlineStr"/>
      <c r="M18" s="5" t="inlineStr"/>
      <c r="N18" s="5" t="inlineStr">
        <is>
          <t>未確認</t>
        </is>
      </c>
      <c r="O18" s="5" t="inlineStr">
        <is>
          <t>未確認</t>
        </is>
      </c>
      <c r="P18" s="5" t="inlineStr">
        <is>
          <t>未確認</t>
        </is>
      </c>
      <c r="Q18" s="5" t="inlineStr">
        <is>
          <t>未確認</t>
        </is>
      </c>
      <c r="R18" s="5" t="inlineStr">
        <is>
          <t>未確認</t>
        </is>
      </c>
      <c r="S18" s="5" t="inlineStr">
        <is>
          <t>未確認</t>
        </is>
      </c>
      <c r="T18" s="5" t="inlineStr">
        <is>
          <t>未確認</t>
        </is>
      </c>
      <c r="U18" s="5" t="inlineStr">
        <is>
          <t>未確認</t>
        </is>
      </c>
      <c r="V18" s="5" t="inlineStr">
        <is>
          <t>要詳細分析</t>
        </is>
      </c>
      <c r="W18" s="5" t="inlineStr"/>
      <c r="X18" s="5" t="inlineStr">
        <is>
          <t>未分析</t>
        </is>
      </c>
      <c r="Y18" s="5" t="inlineStr">
        <is>
          <t>A8.net 即時提携プログラム一覧PDF (2026-09-03/09-05時点)</t>
        </is>
      </c>
      <c r="Z18" s="5" t="inlineStr">
        <is>
          <t>2026-09-05</t>
        </is>
      </c>
    </row>
    <row r="19">
      <c r="A19" s="5" t="n">
        <v>18</v>
      </c>
      <c r="B19" s="5" t="inlineStr">
        <is>
          <t>ファルマスタッフ</t>
        </is>
      </c>
      <c r="C19" s="5" t="inlineStr">
        <is>
          <t>未確認</t>
        </is>
      </c>
      <c r="D19" s="5" t="inlineStr">
        <is>
          <t>医療(薬剤師)</t>
        </is>
      </c>
      <c r="E19" s="5" t="inlineStr">
        <is>
          <t>薬剤師</t>
        </is>
      </c>
      <c r="F19" s="6" t="n"/>
      <c r="G19" s="5" t="inlineStr">
        <is>
          <t>23,000〜65,000円のレンジ（単一値未確定のため未入力）</t>
        </is>
      </c>
      <c r="H19" s="5" t="inlineStr">
        <is>
          <t>会員登録</t>
        </is>
      </c>
      <c r="I19" s="7" t="n">
        <v>0.5037</v>
      </c>
      <c r="J19" s="6" t="n"/>
      <c r="K19" s="8">
        <f>IF(OR(F19="",I19=""),"",F19*I19)</f>
        <v/>
      </c>
      <c r="L19" s="5" t="inlineStr"/>
      <c r="M19" s="5" t="inlineStr"/>
      <c r="N19" s="5" t="inlineStr">
        <is>
          <t>未確認</t>
        </is>
      </c>
      <c r="O19" s="5" t="inlineStr">
        <is>
          <t>未確認</t>
        </is>
      </c>
      <c r="P19" s="5" t="inlineStr">
        <is>
          <t>未確認</t>
        </is>
      </c>
      <c r="Q19" s="5" t="inlineStr">
        <is>
          <t>未確認</t>
        </is>
      </c>
      <c r="R19" s="5" t="inlineStr">
        <is>
          <t>未確認</t>
        </is>
      </c>
      <c r="S19" s="5" t="inlineStr">
        <is>
          <t>未確認</t>
        </is>
      </c>
      <c r="T19" s="5" t="inlineStr">
        <is>
          <t>未確認</t>
        </is>
      </c>
      <c r="U19" s="5" t="inlineStr">
        <is>
          <t>未確認</t>
        </is>
      </c>
      <c r="V19" s="5" t="inlineStr">
        <is>
          <t>要詳細分析</t>
        </is>
      </c>
      <c r="W19" s="5" t="inlineStr"/>
      <c r="X19" s="5" t="inlineStr">
        <is>
          <t>未分析</t>
        </is>
      </c>
      <c r="Y19" s="5" t="inlineStr">
        <is>
          <t>A8.net 即時提携プログラム一覧PDF (2026-09-03/09-05時点)</t>
        </is>
      </c>
      <c r="Z19" s="5" t="inlineStr">
        <is>
          <t>2026-09-05</t>
        </is>
      </c>
    </row>
    <row r="20">
      <c r="A20" s="5" t="n">
        <v>19</v>
      </c>
      <c r="B20" s="5" t="inlineStr">
        <is>
          <t>お仕事ラボ</t>
        </is>
      </c>
      <c r="C20" s="5" t="inlineStr">
        <is>
          <t>未確認</t>
        </is>
      </c>
      <c r="D20" s="5" t="inlineStr">
        <is>
          <t>医療(薬剤師)</t>
        </is>
      </c>
      <c r="E20" s="5" t="inlineStr">
        <is>
          <t>薬剤師</t>
        </is>
      </c>
      <c r="F20" s="6" t="n">
        <v>43750</v>
      </c>
      <c r="G20" s="5" t="inlineStr"/>
      <c r="H20" s="5" t="inlineStr">
        <is>
          <t>面談</t>
        </is>
      </c>
      <c r="I20" s="7" t="n">
        <v>0.1428</v>
      </c>
      <c r="J20" s="6" t="n"/>
      <c r="K20" s="8">
        <f>IF(OR(F20="",I20=""),"",F20*I20)</f>
        <v/>
      </c>
      <c r="L20" s="5" t="inlineStr"/>
      <c r="M20" s="5" t="inlineStr"/>
      <c r="N20" s="5" t="inlineStr">
        <is>
          <t>未確認</t>
        </is>
      </c>
      <c r="O20" s="5" t="inlineStr">
        <is>
          <t>未確認</t>
        </is>
      </c>
      <c r="P20" s="5" t="inlineStr">
        <is>
          <t>未確認</t>
        </is>
      </c>
      <c r="Q20" s="5" t="inlineStr">
        <is>
          <t>未確認</t>
        </is>
      </c>
      <c r="R20" s="5" t="inlineStr">
        <is>
          <t>未確認</t>
        </is>
      </c>
      <c r="S20" s="5" t="inlineStr">
        <is>
          <t>未確認</t>
        </is>
      </c>
      <c r="T20" s="5" t="inlineStr">
        <is>
          <t>未確認</t>
        </is>
      </c>
      <c r="U20" s="5" t="inlineStr">
        <is>
          <t>未確認</t>
        </is>
      </c>
      <c r="V20" s="5" t="inlineStr">
        <is>
          <t>要詳細分析</t>
        </is>
      </c>
      <c r="W20" s="5" t="inlineStr"/>
      <c r="X20" s="5" t="inlineStr">
        <is>
          <t>未分析</t>
        </is>
      </c>
      <c r="Y20" s="5" t="inlineStr">
        <is>
          <t>A8.net 即時提携プログラム一覧PDF (2026-09-03/09-05時点)</t>
        </is>
      </c>
      <c r="Z20" s="5" t="inlineStr">
        <is>
          <t>2026-09-05</t>
        </is>
      </c>
    </row>
    <row r="21">
      <c r="A21" s="5" t="n">
        <v>20</v>
      </c>
      <c r="B21" s="5" t="inlineStr">
        <is>
          <t>TechGo</t>
        </is>
      </c>
      <c r="C21" s="5" t="inlineStr">
        <is>
          <t>未確認</t>
        </is>
      </c>
      <c r="D21" s="5" t="inlineStr">
        <is>
          <t>IT(ハイクラス)</t>
        </is>
      </c>
      <c r="E21" s="5" t="inlineStr">
        <is>
          <t>ITエンジニア・ハイクラス</t>
        </is>
      </c>
      <c r="F21" s="6" t="n">
        <v>18000</v>
      </c>
      <c r="G21" s="5" t="inlineStr"/>
      <c r="H21" s="5" t="inlineStr">
        <is>
          <t>無料面談</t>
        </is>
      </c>
      <c r="I21" s="7" t="n">
        <v>0.3057</v>
      </c>
      <c r="J21" s="6" t="n"/>
      <c r="K21" s="8">
        <f>IF(OR(F21="",I21=""),"",F21*I21)</f>
        <v/>
      </c>
      <c r="L21" s="5" t="inlineStr"/>
      <c r="M21" s="5" t="inlineStr"/>
      <c r="N21" s="5" t="inlineStr">
        <is>
          <t>未確認</t>
        </is>
      </c>
      <c r="O21" s="5" t="inlineStr">
        <is>
          <t>未確認</t>
        </is>
      </c>
      <c r="P21" s="5" t="inlineStr">
        <is>
          <t>未確認</t>
        </is>
      </c>
      <c r="Q21" s="5" t="inlineStr">
        <is>
          <t>未確認</t>
        </is>
      </c>
      <c r="R21" s="5" t="inlineStr">
        <is>
          <t>未確認</t>
        </is>
      </c>
      <c r="S21" s="5" t="inlineStr">
        <is>
          <t>未確認</t>
        </is>
      </c>
      <c r="T21" s="5" t="inlineStr">
        <is>
          <t>未確認</t>
        </is>
      </c>
      <c r="U21" s="5" t="inlineStr">
        <is>
          <t>未確認</t>
        </is>
      </c>
      <c r="V21" s="5" t="inlineStr">
        <is>
          <t>要詳細分析</t>
        </is>
      </c>
      <c r="W21" s="5" t="inlineStr"/>
      <c r="X21" s="5" t="inlineStr">
        <is>
          <t>未分析</t>
        </is>
      </c>
      <c r="Y21" s="5" t="inlineStr">
        <is>
          <t>A8.net 即時提携プログラム一覧PDF (2026-09-03/09-05時点)</t>
        </is>
      </c>
      <c r="Z21" s="5" t="inlineStr">
        <is>
          <t>2026-09-05</t>
        </is>
      </c>
    </row>
    <row r="22">
      <c r="A22" s="5" t="n">
        <v>21</v>
      </c>
      <c r="B22" s="5" t="inlineStr">
        <is>
          <t>ファゲット</t>
        </is>
      </c>
      <c r="C22" s="5" t="inlineStr">
        <is>
          <t>未確認</t>
        </is>
      </c>
      <c r="D22" s="5" t="inlineStr">
        <is>
          <t>医療(薬剤師)</t>
        </is>
      </c>
      <c r="E22" s="5" t="inlineStr">
        <is>
          <t>薬剤師</t>
        </is>
      </c>
      <c r="F22" s="6" t="n">
        <v>33000</v>
      </c>
      <c r="G22" s="5" t="inlineStr"/>
      <c r="H22" s="5" t="inlineStr">
        <is>
          <t>会員登録</t>
        </is>
      </c>
      <c r="I22" s="7" t="n">
        <v>0.0975</v>
      </c>
      <c r="J22" s="6" t="n"/>
      <c r="K22" s="8">
        <f>IF(OR(F22="",I22=""),"",F22*I22)</f>
        <v/>
      </c>
      <c r="L22" s="5" t="inlineStr"/>
      <c r="M22" s="5" t="inlineStr"/>
      <c r="N22" s="5" t="inlineStr">
        <is>
          <t>未確認</t>
        </is>
      </c>
      <c r="O22" s="5" t="inlineStr">
        <is>
          <t>未確認</t>
        </is>
      </c>
      <c r="P22" s="5" t="inlineStr">
        <is>
          <t>未確認</t>
        </is>
      </c>
      <c r="Q22" s="5" t="inlineStr">
        <is>
          <t>未確認</t>
        </is>
      </c>
      <c r="R22" s="5" t="inlineStr">
        <is>
          <t>未確認</t>
        </is>
      </c>
      <c r="S22" s="5" t="inlineStr">
        <is>
          <t>未確認</t>
        </is>
      </c>
      <c r="T22" s="5" t="inlineStr">
        <is>
          <t>未確認</t>
        </is>
      </c>
      <c r="U22" s="5" t="inlineStr">
        <is>
          <t>未確認</t>
        </is>
      </c>
      <c r="V22" s="5" t="inlineStr">
        <is>
          <t>要詳細分析</t>
        </is>
      </c>
      <c r="W22" s="5" t="inlineStr"/>
      <c r="X22" s="5" t="inlineStr">
        <is>
          <t>未分析</t>
        </is>
      </c>
      <c r="Y22" s="5" t="inlineStr">
        <is>
          <t>A8.net 即時提携プログラム一覧PDF (2026-09-03/09-05時点)</t>
        </is>
      </c>
      <c r="Z22" s="5" t="inlineStr">
        <is>
          <t>2026-09-05</t>
        </is>
      </c>
    </row>
    <row r="23">
      <c r="A23" s="5" t="n">
        <v>22</v>
      </c>
      <c r="B23" s="5" t="inlineStr">
        <is>
          <t>ヤクジョブ</t>
        </is>
      </c>
      <c r="C23" s="5" t="inlineStr">
        <is>
          <t>未確認</t>
        </is>
      </c>
      <c r="D23" s="5" t="inlineStr">
        <is>
          <t>医療(薬剤師)</t>
        </is>
      </c>
      <c r="E23" s="5" t="inlineStr">
        <is>
          <t>薬剤師</t>
        </is>
      </c>
      <c r="F23" s="6" t="n">
        <v>30075</v>
      </c>
      <c r="G23" s="5" t="inlineStr"/>
      <c r="H23" s="5" t="inlineStr">
        <is>
          <t>面談</t>
        </is>
      </c>
      <c r="I23" s="7" t="n">
        <v>0.3787</v>
      </c>
      <c r="J23" s="6" t="n"/>
      <c r="K23" s="8">
        <f>IF(OR(F23="",I23=""),"",F23*I23)</f>
        <v/>
      </c>
      <c r="L23" s="5" t="inlineStr"/>
      <c r="M23" s="5" t="inlineStr"/>
      <c r="N23" s="5" t="inlineStr">
        <is>
          <t>未確認</t>
        </is>
      </c>
      <c r="O23" s="5" t="inlineStr">
        <is>
          <t>未確認</t>
        </is>
      </c>
      <c r="P23" s="5" t="inlineStr">
        <is>
          <t>未確認</t>
        </is>
      </c>
      <c r="Q23" s="5" t="inlineStr">
        <is>
          <t>未確認</t>
        </is>
      </c>
      <c r="R23" s="5" t="inlineStr">
        <is>
          <t>未確認</t>
        </is>
      </c>
      <c r="S23" s="5" t="inlineStr">
        <is>
          <t>未確認</t>
        </is>
      </c>
      <c r="T23" s="5" t="inlineStr">
        <is>
          <t>未確認</t>
        </is>
      </c>
      <c r="U23" s="5" t="inlineStr">
        <is>
          <t>未確認</t>
        </is>
      </c>
      <c r="V23" s="5" t="inlineStr">
        <is>
          <t>要詳細分析</t>
        </is>
      </c>
      <c r="W23" s="5" t="inlineStr"/>
      <c r="X23" s="5" t="inlineStr">
        <is>
          <t>未分析</t>
        </is>
      </c>
      <c r="Y23" s="5" t="inlineStr">
        <is>
          <t>A8.net 即時提携プログラム一覧PDF (2026-09-03/09-05時点)</t>
        </is>
      </c>
      <c r="Z23" s="5" t="inlineStr">
        <is>
          <t>2026-09-05</t>
        </is>
      </c>
    </row>
    <row r="24">
      <c r="A24" s="5" t="n">
        <v>23</v>
      </c>
      <c r="B24" s="5" t="inlineStr">
        <is>
          <t>ProgrammerCollege</t>
        </is>
      </c>
      <c r="C24" s="5" t="inlineStr">
        <is>
          <t>未確認</t>
        </is>
      </c>
      <c r="D24" s="5" t="inlineStr">
        <is>
          <t>IT</t>
        </is>
      </c>
      <c r="E24" s="5" t="inlineStr">
        <is>
          <t>IT・プログラミング</t>
        </is>
      </c>
      <c r="F24" s="6" t="n">
        <v>30000</v>
      </c>
      <c r="G24" s="5" t="inlineStr"/>
      <c r="H24" s="5" t="inlineStr">
        <is>
          <t>無料体験面談</t>
        </is>
      </c>
      <c r="I24" s="7" t="n">
        <v>0.238</v>
      </c>
      <c r="J24" s="6" t="n"/>
      <c r="K24" s="8">
        <f>IF(OR(F24="",I24=""),"",F24*I24)</f>
        <v/>
      </c>
      <c r="L24" s="5" t="inlineStr"/>
      <c r="M24" s="5" t="inlineStr"/>
      <c r="N24" s="5" t="inlineStr">
        <is>
          <t>未確認</t>
        </is>
      </c>
      <c r="O24" s="5" t="inlineStr">
        <is>
          <t>未確認</t>
        </is>
      </c>
      <c r="P24" s="5" t="inlineStr">
        <is>
          <t>未確認</t>
        </is>
      </c>
      <c r="Q24" s="5" t="inlineStr">
        <is>
          <t>未確認</t>
        </is>
      </c>
      <c r="R24" s="5" t="inlineStr">
        <is>
          <t>未確認</t>
        </is>
      </c>
      <c r="S24" s="5" t="inlineStr">
        <is>
          <t>未確認</t>
        </is>
      </c>
      <c r="T24" s="5" t="inlineStr">
        <is>
          <t>未確認</t>
        </is>
      </c>
      <c r="U24" s="5" t="inlineStr">
        <is>
          <t>未確認</t>
        </is>
      </c>
      <c r="V24" s="5" t="inlineStr">
        <is>
          <t>要詳細分析</t>
        </is>
      </c>
      <c r="W24" s="5" t="inlineStr"/>
      <c r="X24" s="5" t="inlineStr">
        <is>
          <t>未分析</t>
        </is>
      </c>
      <c r="Y24" s="5" t="inlineStr">
        <is>
          <t>A8.net 即時提携プログラム一覧PDF (2026-09-03/09-05時点)</t>
        </is>
      </c>
      <c r="Z24" s="5" t="inlineStr">
        <is>
          <t>2026-09-05</t>
        </is>
      </c>
    </row>
    <row r="25">
      <c r="A25" s="5" t="n">
        <v>24</v>
      </c>
      <c r="B25" s="5" t="inlineStr">
        <is>
          <t>UZUZ新卒</t>
        </is>
      </c>
      <c r="C25" s="5" t="inlineStr">
        <is>
          <t>未確認</t>
        </is>
      </c>
      <c r="D25" s="5" t="inlineStr">
        <is>
          <t>新卒</t>
        </is>
      </c>
      <c r="E25" s="5" t="inlineStr">
        <is>
          <t>新卒</t>
        </is>
      </c>
      <c r="F25" s="6" t="n">
        <v>22556</v>
      </c>
      <c r="G25" s="5" t="inlineStr"/>
      <c r="H25" s="5" t="inlineStr">
        <is>
          <t>無料相談</t>
        </is>
      </c>
      <c r="I25" s="7" t="n">
        <v>0.0746</v>
      </c>
      <c r="J25" s="6" t="n"/>
      <c r="K25" s="8">
        <f>IF(OR(F25="",I25=""),"",F25*I25)</f>
        <v/>
      </c>
      <c r="L25" s="5" t="inlineStr"/>
      <c r="M25" s="5" t="inlineStr"/>
      <c r="N25" s="5" t="inlineStr">
        <is>
          <t>未確認</t>
        </is>
      </c>
      <c r="O25" s="5" t="inlineStr">
        <is>
          <t>未確認</t>
        </is>
      </c>
      <c r="P25" s="5" t="inlineStr">
        <is>
          <t>未確認</t>
        </is>
      </c>
      <c r="Q25" s="5" t="inlineStr">
        <is>
          <t>未確認</t>
        </is>
      </c>
      <c r="R25" s="5" t="inlineStr">
        <is>
          <t>未確認</t>
        </is>
      </c>
      <c r="S25" s="5" t="inlineStr">
        <is>
          <t>未確認</t>
        </is>
      </c>
      <c r="T25" s="5" t="inlineStr">
        <is>
          <t>未確認</t>
        </is>
      </c>
      <c r="U25" s="5" t="inlineStr">
        <is>
          <t>未確認</t>
        </is>
      </c>
      <c r="V25" s="5" t="inlineStr">
        <is>
          <t>要詳細分析</t>
        </is>
      </c>
      <c r="W25" s="5" t="inlineStr"/>
      <c r="X25" s="5" t="inlineStr">
        <is>
          <t>未分析</t>
        </is>
      </c>
      <c r="Y25" s="5" t="inlineStr">
        <is>
          <t>A8.net 即時提携プログラム一覧PDF (2026-09-03/09-05時点)</t>
        </is>
      </c>
      <c r="Z25" s="5" t="inlineStr">
        <is>
          <t>2026-09-05</t>
        </is>
      </c>
    </row>
    <row r="26">
      <c r="A26" s="5" t="n">
        <v>25</v>
      </c>
      <c r="B26" s="5" t="inlineStr">
        <is>
          <t>就職エージェントneo</t>
        </is>
      </c>
      <c r="C26" s="5" t="inlineStr">
        <is>
          <t>未確認</t>
        </is>
      </c>
      <c r="D26" s="5" t="inlineStr">
        <is>
          <t>新卒</t>
        </is>
      </c>
      <c r="E26" s="5" t="inlineStr">
        <is>
          <t>新卒</t>
        </is>
      </c>
      <c r="F26" s="6" t="n">
        <v>22500</v>
      </c>
      <c r="G26" s="5" t="inlineStr"/>
      <c r="H26" s="5" t="inlineStr">
        <is>
          <t>面談実施</t>
        </is>
      </c>
      <c r="I26" s="7" t="n">
        <v>0.3571</v>
      </c>
      <c r="J26" s="6" t="n"/>
      <c r="K26" s="8">
        <f>IF(OR(F26="",I26=""),"",F26*I26)</f>
        <v/>
      </c>
      <c r="L26" s="5" t="inlineStr"/>
      <c r="M26" s="5" t="inlineStr"/>
      <c r="N26" s="5" t="inlineStr">
        <is>
          <t>未確認</t>
        </is>
      </c>
      <c r="O26" s="5" t="inlineStr">
        <is>
          <t>未確認</t>
        </is>
      </c>
      <c r="P26" s="5" t="inlineStr">
        <is>
          <t>未確認</t>
        </is>
      </c>
      <c r="Q26" s="5" t="inlineStr">
        <is>
          <t>未確認</t>
        </is>
      </c>
      <c r="R26" s="5" t="inlineStr">
        <is>
          <t>未確認</t>
        </is>
      </c>
      <c r="S26" s="5" t="inlineStr">
        <is>
          <t>未確認</t>
        </is>
      </c>
      <c r="T26" s="5" t="inlineStr">
        <is>
          <t>未確認</t>
        </is>
      </c>
      <c r="U26" s="5" t="inlineStr">
        <is>
          <t>未確認</t>
        </is>
      </c>
      <c r="V26" s="5" t="inlineStr">
        <is>
          <t>要詳細分析</t>
        </is>
      </c>
      <c r="W26" s="5" t="inlineStr"/>
      <c r="X26" s="5" t="inlineStr">
        <is>
          <t>未分析</t>
        </is>
      </c>
      <c r="Y26" s="5" t="inlineStr">
        <is>
          <t>A8.net 即時提携プログラム一覧PDF (2026-09-03/09-05時点)</t>
        </is>
      </c>
      <c r="Z26" s="5" t="inlineStr">
        <is>
          <t>2026-09-05</t>
        </is>
      </c>
    </row>
    <row r="27">
      <c r="A27" s="5" t="n">
        <v>26</v>
      </c>
      <c r="B27" s="5" t="inlineStr">
        <is>
          <t>ナースJJ</t>
        </is>
      </c>
      <c r="C27" s="5" t="inlineStr">
        <is>
          <t>未確認</t>
        </is>
      </c>
      <c r="D27" s="5" t="inlineStr">
        <is>
          <t>医療(看護師)</t>
        </is>
      </c>
      <c r="E27" s="5" t="inlineStr">
        <is>
          <t>看護師</t>
        </is>
      </c>
      <c r="F27" s="6" t="n">
        <v>20000</v>
      </c>
      <c r="G27" s="5" t="inlineStr"/>
      <c r="H27" s="5" t="inlineStr">
        <is>
          <t>会員登録</t>
        </is>
      </c>
      <c r="I27" s="7" t="n">
        <v>0.037</v>
      </c>
      <c r="J27" s="6" t="n"/>
      <c r="K27" s="8">
        <f>IF(OR(F27="",I27=""),"",F27*I27)</f>
        <v/>
      </c>
      <c r="L27" s="5" t="inlineStr"/>
      <c r="M27" s="5" t="inlineStr"/>
      <c r="N27" s="5" t="inlineStr">
        <is>
          <t>未確認</t>
        </is>
      </c>
      <c r="O27" s="5" t="inlineStr">
        <is>
          <t>未確認</t>
        </is>
      </c>
      <c r="P27" s="5" t="inlineStr">
        <is>
          <t>未確認</t>
        </is>
      </c>
      <c r="Q27" s="5" t="inlineStr">
        <is>
          <t>未確認</t>
        </is>
      </c>
      <c r="R27" s="5" t="inlineStr">
        <is>
          <t>未確認</t>
        </is>
      </c>
      <c r="S27" s="5" t="inlineStr">
        <is>
          <t>未確認</t>
        </is>
      </c>
      <c r="T27" s="5" t="inlineStr">
        <is>
          <t>未確認</t>
        </is>
      </c>
      <c r="U27" s="5" t="inlineStr">
        <is>
          <t>未確認</t>
        </is>
      </c>
      <c r="V27" s="5" t="inlineStr">
        <is>
          <t>要詳細分析</t>
        </is>
      </c>
      <c r="W27" s="5" t="inlineStr"/>
      <c r="X27" s="5" t="inlineStr">
        <is>
          <t>未分析</t>
        </is>
      </c>
      <c r="Y27" s="5" t="inlineStr">
        <is>
          <t>A8.net 即時提携プログラム一覧PDF (2026-09-03/09-05時点)</t>
        </is>
      </c>
      <c r="Z27" s="5" t="inlineStr">
        <is>
          <t>2026-09-05</t>
        </is>
      </c>
    </row>
    <row r="28">
      <c r="A28" s="5" t="n">
        <v>27</v>
      </c>
      <c r="B28" s="5" t="inlineStr">
        <is>
          <t>TechClips ME</t>
        </is>
      </c>
      <c r="C28" s="5" t="inlineStr">
        <is>
          <t>未確認</t>
        </is>
      </c>
      <c r="D28" s="5" t="inlineStr">
        <is>
          <t>IT</t>
        </is>
      </c>
      <c r="E28" s="5" t="inlineStr">
        <is>
          <t>ITエンジニア</t>
        </is>
      </c>
      <c r="F28" s="6" t="n">
        <v>20000</v>
      </c>
      <c r="G28" s="5" t="inlineStr"/>
      <c r="H28" s="5" t="inlineStr">
        <is>
          <t>利用者登録</t>
        </is>
      </c>
      <c r="I28" s="7" t="n"/>
      <c r="J28" s="6" t="n"/>
      <c r="K28" s="8">
        <f>IF(OR(F28="",I28=""),"",F28*I28)</f>
        <v/>
      </c>
      <c r="L28" s="5" t="inlineStr"/>
      <c r="M28" s="5" t="inlineStr"/>
      <c r="N28" s="5" t="inlineStr">
        <is>
          <t>未確認</t>
        </is>
      </c>
      <c r="O28" s="5" t="inlineStr">
        <is>
          <t>未確認</t>
        </is>
      </c>
      <c r="P28" s="5" t="inlineStr">
        <is>
          <t>未確認</t>
        </is>
      </c>
      <c r="Q28" s="5" t="inlineStr">
        <is>
          <t>未確認</t>
        </is>
      </c>
      <c r="R28" s="5" t="inlineStr">
        <is>
          <t>未確認</t>
        </is>
      </c>
      <c r="S28" s="5" t="inlineStr">
        <is>
          <t>未確認</t>
        </is>
      </c>
      <c r="T28" s="5" t="inlineStr">
        <is>
          <t>未確認</t>
        </is>
      </c>
      <c r="U28" s="5" t="inlineStr">
        <is>
          <t>未確認</t>
        </is>
      </c>
      <c r="V28" s="5" t="inlineStr">
        <is>
          <t>要詳細分析</t>
        </is>
      </c>
      <c r="W28" s="5" t="inlineStr"/>
      <c r="X28" s="5" t="inlineStr">
        <is>
          <t>未分析</t>
        </is>
      </c>
      <c r="Y28" s="5" t="inlineStr">
        <is>
          <t>A8.net 即時提携プログラム一覧PDF (2026-09-03/09-05時点)</t>
        </is>
      </c>
      <c r="Z28" s="5" t="inlineStr">
        <is>
          <t>2026-09-05</t>
        </is>
      </c>
    </row>
  </sheetData>
  <dataValidations count="7">
    <dataValidation sqref="P2:P1000" showDropDown="0" showInputMessage="0" showErrorMessage="0" allowBlank="1" type="list">
      <formula1>"NG,OK,不明,未確認"</formula1>
    </dataValidation>
    <dataValidation sqref="Q2:Q1000" showDropDown="0" showInputMessage="0" showErrorMessage="0" allowBlank="1" type="list">
      <formula1>"NG,OK,不明,未確認"</formula1>
    </dataValidation>
    <dataValidation sqref="R2:R1000" showDropDown="0" showInputMessage="0" showErrorMessage="0" allowBlank="1" type="list">
      <formula1>"OK,NG,不明,未確認"</formula1>
    </dataValidation>
    <dataValidation sqref="S2:S1000" showDropDown="0" showInputMessage="0" showErrorMessage="0" allowBlank="1" type="list">
      <formula1>"NG,OK,不明,未確認"</formula1>
    </dataValidation>
    <dataValidation sqref="T2:T1000" showDropDown="0" showInputMessage="0" showErrorMessage="0" allowBlank="1" type="list">
      <formula1>"あり,なし,不明,未確認"</formula1>
    </dataValidation>
    <dataValidation sqref="V2:V1000" showDropDown="0" showInputMessage="0" showErrorMessage="0" allowBlank="1" type="list">
      <formula1>"本命,S,A,B,低,最下位,判定不能,見送り推奨,要詳細確認,要詳細分析"</formula1>
    </dataValidation>
    <dataValidation sqref="X2:X1000" showDropDown="0" showInputMessage="0" showErrorMessage="0" allowBlank="1" type="list">
      <formula1>"済,未確認,未分析,済（データ不足）,済（開始直後）,済（実績ゼロ）"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2026-09-05T17:07:47Z</dcterms:created>
  <dcterms:modified xsi:type="dcterms:W3CDTF">2026-09-05T17:07:47Z</dcterms:modified>
</cp:coreProperties>
</file>